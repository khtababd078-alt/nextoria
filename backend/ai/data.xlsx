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7533" documentId="11_0B1D56BE9CDCCE836B02CE7A5FB0D4A9BBFD1C62" xr6:coauthVersionLast="47" xr6:coauthVersionMax="47" xr10:uidLastSave="{A5E21CDC-0284-48CD-A789-89666CB5273C}"/>
  <bookViews>
    <workbookView xWindow="240" yWindow="105" windowWidth="14805" windowHeight="8010" xr2:uid="{00000000-000D-0000-FFFF-FFFF00000000}"/>
  </bookViews>
  <sheets>
    <sheet name="DATASET" sheetId="1" r:id="rId1"/>
    <sheet name="Student Dataset" sheetId="2" r:id="rId2"/>
  </sheets>
  <definedNames>
    <definedName name="_xlnm._FilterDatabase" localSheetId="0" hidden="1">DATASET!$T$1:$T$225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2" i="1"/>
  <c r="O367" i="1"/>
  <c r="P326" i="1"/>
  <c r="O326" i="1"/>
  <c r="N32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3" i="1"/>
  <c r="N2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P223" i="1"/>
  <c r="P224" i="1"/>
  <c r="P225" i="1"/>
  <c r="P226" i="1"/>
  <c r="O223" i="1"/>
  <c r="O224" i="1"/>
  <c r="O225" i="1"/>
  <c r="O22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23" i="1"/>
  <c r="O122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3" i="1"/>
  <c r="O2" i="1"/>
</calcChain>
</file>

<file path=xl/sharedStrings.xml><?xml version="1.0" encoding="utf-8"?>
<sst xmlns="http://schemas.openxmlformats.org/spreadsheetml/2006/main" count="2209" uniqueCount="451">
  <si>
    <t>الجامعات</t>
  </si>
  <si>
    <t>المدينة</t>
  </si>
  <si>
    <t>التخصصات</t>
  </si>
  <si>
    <t>الحقل</t>
  </si>
  <si>
    <t>الحد التنافسي لسنة 2020</t>
  </si>
  <si>
    <t>الحد التنافسي لسنة 2021</t>
  </si>
  <si>
    <t>الحد التنافسي لسنة 2022</t>
  </si>
  <si>
    <t>الحد التنافسي لسنة 2023</t>
  </si>
  <si>
    <t>الحد التنافسي لسنة 2024</t>
  </si>
  <si>
    <t>الحد التنافسي المتوقع</t>
  </si>
  <si>
    <t>عدد ساعات التخصص</t>
  </si>
  <si>
    <t>سعر الساعة للتنافسي</t>
  </si>
  <si>
    <t>سعر الساعة الموازي</t>
  </si>
  <si>
    <t>عدد سنوات الدراسة</t>
  </si>
  <si>
    <t>التكلفة الكليه(تنافس)</t>
  </si>
  <si>
    <t>التكلفة الكليه(موازي)</t>
  </si>
  <si>
    <t>تدريب ميداني</t>
  </si>
  <si>
    <t>نسبة العملي</t>
  </si>
  <si>
    <t>تقييم صعوبة التخصص</t>
  </si>
  <si>
    <t>حالة سوق العمل</t>
  </si>
  <si>
    <t>وصف للتخصص</t>
  </si>
  <si>
    <t>نوع الجامعة</t>
  </si>
  <si>
    <t>الجامعة الأردنية</t>
  </si>
  <si>
    <t>عمان</t>
  </si>
  <si>
    <t>الطب</t>
  </si>
  <si>
    <t>صحي</t>
  </si>
  <si>
    <t>يدرس جسم الأنسان وتشخيصه وعلاجة جراحيا و دوائياً.</t>
  </si>
  <si>
    <t>طب الأسنان</t>
  </si>
  <si>
    <t>صحة الفم والأسنان.</t>
  </si>
  <si>
    <t>الصيدلة</t>
  </si>
  <si>
    <t>صناعة أدوية و طرق التحضير و فهم التأثيرات للأدوية.</t>
  </si>
  <si>
    <t>التمريض</t>
  </si>
  <si>
    <t>يهتم برعاية المرضى ومتابعة حالتهم وتنفيذ خطط العلاج والتوعية الصحية بالتعاون مع الفريق الطبي.</t>
  </si>
  <si>
    <t>علوم المختبرات الطبية</t>
  </si>
  <si>
    <t>إجراء التحاليل الطبية على عينات المريض للكشف عن امراض وتشخيصها.</t>
  </si>
  <si>
    <t>العلاج الطبيعي</t>
  </si>
  <si>
    <t>يعالج الإصابات وضعف الحركة بإستخدام تمارين وأجهزة متخصصة.</t>
  </si>
  <si>
    <t>العلاج الوظيفي</t>
  </si>
  <si>
    <t>تأهيل المرضى الأطفال وكبار السن لمساعدتهم على أستعادة مهارات الحياة.</t>
  </si>
  <si>
    <t>دكتور الصيدلة</t>
  </si>
  <si>
    <t>التعامل المباشر مع المريض وفي المشفى ومتابعة العلاجات.</t>
  </si>
  <si>
    <t>هندسة العمارة</t>
  </si>
  <si>
    <t>هندسي</t>
  </si>
  <si>
    <t>يجمع بين الفن والهندسة لتصميم المباني والفراغات بما يحقق الجمال والوظيفة والأمان.</t>
  </si>
  <si>
    <t>هالهندسة المدنية</t>
  </si>
  <si>
    <t>تصميم وتنفيذ البنية التحتية مثل المباني والطرق والجسور وشبكات المياه.</t>
  </si>
  <si>
    <t>هندسة الكهرباء</t>
  </si>
  <si>
    <t>دراسة وتصميم أنظمة الطاقة الكهربائية والإلكترونيات والتحكم.</t>
  </si>
  <si>
    <t>هندسة الميكانيك</t>
  </si>
  <si>
    <t>تصميم وتشغيل الآلات والأنظمة الميكانيكية والطاقة والتبريد.</t>
  </si>
  <si>
    <t>الهندسة الكيميائية</t>
  </si>
  <si>
    <t>تحويل المواد الخام إلى منتجات مفيدة عبر عمليات كيميائية وصناعية.</t>
  </si>
  <si>
    <t>هندسة الحاسوب</t>
  </si>
  <si>
    <t>دمج العتاد والبرمجيات لتصميم أنظمة الحاسوب والدوائر الذكية.</t>
  </si>
  <si>
    <t>هندسة الميكاترونيكس</t>
  </si>
  <si>
    <t>دمج الميكانيك والكهرباء والبرمجة لصنع أنظمة وأجهزة ذكية.</t>
  </si>
  <si>
    <t>الهندسة الصناعية</t>
  </si>
  <si>
    <t>تحسين كفاءة الإنتاج والعمليات وإدارة الجودة والموارد.</t>
  </si>
  <si>
    <t>الاحياء والبيلوجيا</t>
  </si>
  <si>
    <t>العلوم والتكنلوجيا</t>
  </si>
  <si>
    <t>دراسة الكائنات الحية ووظائفها وتطورها وعلاقتها بالبيئة.</t>
  </si>
  <si>
    <t>الكيمياء</t>
  </si>
  <si>
    <t>فهم تركيب المواد وتفاعلاتها واستخدامها في مختلف المجالات.</t>
  </si>
  <si>
    <t>الفيزياء</t>
  </si>
  <si>
    <t>دراسة قوانين الطبيعة والطاقة والحركة والمادة وتطبيقاتها.</t>
  </si>
  <si>
    <t>الجيلوجيا</t>
  </si>
  <si>
    <t>دراسة الأرض والصخور والمعادن والموارد الطبيعية والزلازل</t>
  </si>
  <si>
    <t>الرياضيات</t>
  </si>
  <si>
    <t>دراسة الأعداد والتحليل والمنطق وتطبيقها في العلوم والتقنية.</t>
  </si>
  <si>
    <t>علوم الحاسوب</t>
  </si>
  <si>
    <t>دراسة البرمجة والخوارزميات والذكاء الحاسوبي وتطوير التطبيقات.</t>
  </si>
  <si>
    <t>علم البيانات</t>
  </si>
  <si>
    <t>تحليل البيانات واستخراج الأنماط لاتخاذ قرارات وتوقعات ذكية.</t>
  </si>
  <si>
    <t>الذكاء الاصطناعي</t>
  </si>
  <si>
    <t>تطوير أنظمة تتعلم وتفكر وتحل المشاكل مثل الإنسان</t>
  </si>
  <si>
    <t>الامن السيبراني</t>
  </si>
  <si>
    <t>حماية الأنظمة والشبكات والبيانات من الهجمات والاختراقات.</t>
  </si>
  <si>
    <t>هندسة البرمجيات</t>
  </si>
  <si>
    <t>بناء وتطوير برامج كبيرة بجودة عالية وبطريقة منظمة.</t>
  </si>
  <si>
    <t>نظم المعلومات الحاسوبية</t>
  </si>
  <si>
    <t>تصميم وإدارة أنظمة معلومات تخدم الأعمال والمؤسسات.</t>
  </si>
  <si>
    <t>الانتاج الحيواني</t>
  </si>
  <si>
    <t>تربية وتحسين إنتاج الحيوانات (لحوم، ألبان، دواجن) علمياً.</t>
  </si>
  <si>
    <t>علم وتكنلوجيا الغذاء</t>
  </si>
  <si>
    <t>تصنيع وحفظ وتحسين جودة وسلامة الأغذية</t>
  </si>
  <si>
    <t>تغذية الانسان والحميات</t>
  </si>
  <si>
    <t>دراسة الغذاء وتأثيره على الصحة ووضع الأنظمة الغذائية العلاجية.</t>
  </si>
  <si>
    <t>اللغة العربية وآدابها</t>
  </si>
  <si>
    <t>اللغات والعلوم الأجتماعية</t>
  </si>
  <si>
    <t>دراسة اللغة العربية نحوًا وبلاغةً وأدبًا قديمًا وحديثًا</t>
  </si>
  <si>
    <t>اللغة الإنجليزية وآدابها</t>
  </si>
  <si>
    <t>دراسة اللغة الإنجليزية ومهاراتها وأدبها وثقافتها.</t>
  </si>
  <si>
    <t>اللغة الفرنسية وآدابها</t>
  </si>
  <si>
    <t>دراسة اللغة الفرنسية وقواعدها وأدبها وثقافتها.</t>
  </si>
  <si>
    <t>اللغة الانجليزية التطبيقية</t>
  </si>
  <si>
    <t>تركيز على استخدام الإنجليزية عمليًا في الترجمة والتواصل وسوق العمل.</t>
  </si>
  <si>
    <t>علم النفس</t>
  </si>
  <si>
    <t>فهم سلوك الإنسان وعملياته العقلية والانفعالية وتشخيصها.</t>
  </si>
  <si>
    <t>علم الاجتماع</t>
  </si>
  <si>
    <t>دراسة المجتمع والعلاقات الاجتماعية والتغيرات والقضايا المجتمعية.</t>
  </si>
  <si>
    <t>التربية الخاصة</t>
  </si>
  <si>
    <t>تعليم ودعم ذوي الاحتياجات الخاصة وطرق دمجهم وتطوير قدراتهم.</t>
  </si>
  <si>
    <t>التربية البدنية</t>
  </si>
  <si>
    <t>دراسة الرياضة وعلوم الحركة والتدريب لتحسين الصحة واللياقة</t>
  </si>
  <si>
    <t>الارشاد والصحة النفسية</t>
  </si>
  <si>
    <t>تقديم الدعم النفسي والإرشاد لحل المشكلات وتحسين التوافق.</t>
  </si>
  <si>
    <t>الفلسفة</t>
  </si>
  <si>
    <t>دراسة الفكر الإنساني والمنطق والأسئلة الكبرى حول الوجود والمعرفة والأخلاق.</t>
  </si>
  <si>
    <t>الآثار</t>
  </si>
  <si>
    <t>دراسة الحضارات القديمة والتنقيب عن آثارها وحفظها وتحليلها.</t>
  </si>
  <si>
    <t>الادارة السياحية</t>
  </si>
  <si>
    <t>تنظيم وإدارة الخدمات والبرامج السياحية وتسويق الوجهات.</t>
  </si>
  <si>
    <t>القانون</t>
  </si>
  <si>
    <t>القانون والعلوم الشرعية</t>
  </si>
  <si>
    <t>دراسة الأنظمة والتشريعات لتنظيم حقوق الناس وحل النزاعات.</t>
  </si>
  <si>
    <t>أصول الدين</t>
  </si>
  <si>
    <t>دراسة العقيدة الإسلامية والتفسير والحديث وعلومها.</t>
  </si>
  <si>
    <t>الفقه وأصوله</t>
  </si>
  <si>
    <t>فهم الأحكام الشرعية وكيفية استنباطها من مصادرها.</t>
  </si>
  <si>
    <t>إدارة الأعمال</t>
  </si>
  <si>
    <t>الأعمال</t>
  </si>
  <si>
    <t>تنظيم وتخطيط وإدارة الشركات والموارد لتحقيق أهدافها.</t>
  </si>
  <si>
    <t>المحاسبة</t>
  </si>
  <si>
    <t>تسجيل وتحليل العمليات المالية وإعداد التقارير والميزانيات.</t>
  </si>
  <si>
    <t>التمويل</t>
  </si>
  <si>
    <t>إدارة الأموال والاستثمارات والقروض واتخاذ قرارات مالية ذكية.</t>
  </si>
  <si>
    <t>التسويق</t>
  </si>
  <si>
    <t>دراسة السوق وطرق الترويج للمنتجات وفهم سلوك العملاء.</t>
  </si>
  <si>
    <t>نظم المعلومات الادارية</t>
  </si>
  <si>
    <t>دمج الإدارة مع التقنية لتطوير أنظمة معلومات تخدم المؤسسات.</t>
  </si>
  <si>
    <t>الإدارة العامة</t>
  </si>
  <si>
    <t>إدارة وتنظيم العمل في القطاعات الحكومية والخدمية.</t>
  </si>
  <si>
    <t>إقتصاد الأعمال</t>
  </si>
  <si>
    <t>دراسة الاقتصاد وتطبيقه على قرارات الشركات والأسواق.</t>
  </si>
  <si>
    <t>الجامعة الهاشمية</t>
  </si>
  <si>
    <t>الزرقاء</t>
  </si>
  <si>
    <t>جامعة اليرموك</t>
  </si>
  <si>
    <t>إربد</t>
  </si>
  <si>
    <t>جامعة مؤتة</t>
  </si>
  <si>
    <t>الكرك</t>
  </si>
  <si>
    <t>78..65</t>
  </si>
  <si>
    <t>هندسة زراعية</t>
  </si>
  <si>
    <t>تطبيق الهندسة في الزراعة لتحسين الإنتاج والري والآلات الزراعية.</t>
  </si>
  <si>
    <t>جامعة آل البيت</t>
  </si>
  <si>
    <t xml:space="preserve"> المفرق</t>
  </si>
  <si>
    <t>رعاية المرضى ومتابعة العلاج داخل المستشفيات</t>
  </si>
  <si>
    <t>المفرق</t>
  </si>
  <si>
    <t>تحليل عينات المرضى للمساعدة بالتشخيص</t>
  </si>
  <si>
    <t>علوم السمع والنطق</t>
  </si>
  <si>
    <t>تشخيص وعلاج مشاكل السمع والنطق واللغة</t>
  </si>
  <si>
    <t>تقنيات الأشعة الطبية</t>
  </si>
  <si>
    <t>تصوير طبي (أشعة/رنين/طبقي) للتشخيص</t>
  </si>
  <si>
    <t>تصميم المباني والمساحات بشكل وظيفي وجمالي.</t>
  </si>
  <si>
    <t>تنفيذ وتصميم مشاريع مثل الطرق والجسور والمباني</t>
  </si>
  <si>
    <t>هندسة الطاقة المتجددة</t>
  </si>
  <si>
    <t>تصميم أنظمة طاقة شمسية ورياح وكفاءة طاقة.</t>
  </si>
  <si>
    <t>هندسة المساحة</t>
  </si>
  <si>
    <t>قياس الأراضي ورسم الخرائط وتحديد المواقع.</t>
  </si>
  <si>
    <t>دراسة المواد والتفاعلات واستخدامها في الصناعة والدواء</t>
  </si>
  <si>
    <t>فهم قوانين الطبيعة والطاقة وتطبيقاتها في التقنية.</t>
  </si>
  <si>
    <t>حل مسائل وتحليل ونمذجة تستخدم بكل العلوم.</t>
  </si>
  <si>
    <t>نظم المعلومات الجغرافية</t>
  </si>
  <si>
    <t>بناء أنظمة معلومات وقواعد بيانات للمؤسسات.</t>
  </si>
  <si>
    <t>برمجة وتطوير برمجيات وخوارزميات وتقنيات حديثة.</t>
  </si>
  <si>
    <t>علوم الأرض والبيئة التطبيقية</t>
  </si>
  <si>
    <t>دراسة البيئة والجيولوجيا والموارد الطبيعية.</t>
  </si>
  <si>
    <t>العلوم السياسية</t>
  </si>
  <si>
    <t>فهم الأنظمة السياسية والعلاقات الدولية والسياسات.</t>
  </si>
  <si>
    <t>تحليل البيانات واستخراج نتائج وتوقعات مفيدة.</t>
  </si>
  <si>
    <t>تطوير أنظمة تتعلم مثل الإنسان وتعمل بذكاء.</t>
  </si>
  <si>
    <t>حماية الشبكات والبيانات من الاختراق والهجمات.</t>
  </si>
  <si>
    <t>تصميم حلول تقنية تربط بين الإدارة والتقنية.</t>
  </si>
  <si>
    <t>دراسة اللغة والأدب والكتابة والتحليل.</t>
  </si>
  <si>
    <t>لغة وأدب وترجمة وتواصل أكاديمي.</t>
  </si>
  <si>
    <t>لغة وثقافة وأدب ومهارات ترجمة.</t>
  </si>
  <si>
    <t>إنجليزي عملي للوظائف والترجمة.</t>
  </si>
  <si>
    <t>تعليم وتأهيل ذوي الإعاقات وصعوبات التعلم.</t>
  </si>
  <si>
    <t>تعليم الرياضة واللياقة وإدارة الأنشطة الرياضية.</t>
  </si>
  <si>
    <t>تكنولوجيا مالية</t>
  </si>
  <si>
    <t>تطبيقات وتقنيات حديثة في الخدمات المالية والبنوك.</t>
  </si>
  <si>
    <t>معلم الصف / إناث</t>
  </si>
  <si>
    <t>تنظيم الكتب والمصادر والبحث والأرشفة.</t>
  </si>
  <si>
    <t>اللغة والادب/ايطالي - انجليزي</t>
  </si>
  <si>
    <t>دراسة الحضارات والتنقيب وتحليل القطع الأثرية.</t>
  </si>
  <si>
    <t>اللغة والادب/اسباني - انجليزي</t>
  </si>
  <si>
    <t>دراسة الإسبانية مع الإنجليزية للترجمة والعمل.</t>
  </si>
  <si>
    <t>معلم الصف</t>
  </si>
  <si>
    <t>دراسة الإسبانية مع الفرنسية للترجمة والتواصل.</t>
  </si>
  <si>
    <t>التاريخ</t>
  </si>
  <si>
    <t>إعداد معلم للمرحلة الأساسية وتدريس مواد متعددة.</t>
  </si>
  <si>
    <t>الجغرافيا التطبيقية</t>
  </si>
  <si>
    <t>دراسة الأحداث والحضارات وتحليل الماضي لفهم الحاضر.</t>
  </si>
  <si>
    <t>دراسة الأنظمة والحقوق للعمل في المجال القانوني.</t>
  </si>
  <si>
    <t>علوم شرعية مثل العقيدة والحديث والتفسير.</t>
  </si>
  <si>
    <t>الامامة والوعظ والارشاد</t>
  </si>
  <si>
    <t>إعداد خطباء ومرشدين للتوجيه الديني.</t>
  </si>
  <si>
    <t>أحكام شرعية وقواعد الاستنباط الفقهي.</t>
  </si>
  <si>
    <t>إدارة الشركات والتسويق والموارد والعمليات.</t>
  </si>
  <si>
    <t>تسجيل وتحليل الحسابات وإعداد التقارير المالية.</t>
  </si>
  <si>
    <t>استثمار وإدارة الأموال والأسواق المالية.</t>
  </si>
  <si>
    <t>دراسة السوق والعملاء والترويج وبناء العلامة.</t>
  </si>
  <si>
    <t>أنظمة تقنية لدعم الإدارة واتخاذ القرار.</t>
  </si>
  <si>
    <t>إدارة المؤسسات الحكومية والسياسات والخدمات.</t>
  </si>
  <si>
    <t>يركز على تحليل السوق والشركات اقتصاديًا</t>
  </si>
  <si>
    <t>نظم المعلومات المحاسبية</t>
  </si>
  <si>
    <t>استخدام الأنظمة والبرامج لتسجيل البيانات المالية، إعداد التقارير، الرقابة، التدقيق، وتحليل المعلومات لدعم القرار داخل المؤسسات</t>
  </si>
  <si>
    <t>جامعة العلوم و التكنولوجيا</t>
  </si>
  <si>
    <t>دراسة تشخيص الأمراض وعلاجها والوقاية منها، والعمل كطبيب في المستشفيات والعيادات بمختلف التخصصات الطبية.</t>
  </si>
  <si>
    <t>يهتم بصحة الفم والأسنان واللثة، ويشمل علاج التسوس، التقويم، الزراعة، وجراحة الفم.</t>
  </si>
  <si>
    <t>دراسة الأدوية من حيث تركيبها وتأثيرها وطريقة استخدامها، والعمل في الصيدليات أو شركات الأدوية والمستشفيات.</t>
  </si>
  <si>
    <t>دكتور صيدلة</t>
  </si>
  <si>
    <t>تخصص يركز على الصيدلة السريرية داخل المستشفيات، ومتابعة الخطة الدوائية للمرضى بالتعاون مع الأطباء.</t>
  </si>
  <si>
    <t>دكتور بيطري</t>
  </si>
  <si>
    <t>تشخيص وعلاج أمراض الحيوانات، سواء الأليفة أو حيوانات المزارع، مع دور مهم في الصحة العامة وسلامة الغذاء.</t>
  </si>
  <si>
    <t>العلوم الطبية المخبرية</t>
  </si>
  <si>
    <t>تحليل عينات الدم والبول والأنسجة باستخدام أجهزة مخبرية لتشخيص الأمراض ومتابعة الحالة الصحية.</t>
  </si>
  <si>
    <t>تقديم الرعاية الصحية للمرضى، متابعة حالتهم، إعطاء الأدوية، والعمل ضمن الفريق الطبي.</t>
  </si>
  <si>
    <t>إعادة تأهيل المرضى بعد الإصابات أو العمليات من خلال التمارين العلاجية والأجهزة المتخصصة.</t>
  </si>
  <si>
    <t>العالج الوظيفي</t>
  </si>
  <si>
    <t>مساعدة المرضى على استعادة قدرتهم على أداء الأنشطة اليومية بعد إصابة أو إعاقة جسدية أو عصبية.</t>
  </si>
  <si>
    <t>البصريات</t>
  </si>
  <si>
    <t>فحص النظر وتشخيص مشاكل الإبصار ووصف النظارات والعدسات اللاصقة.</t>
  </si>
  <si>
    <t>تكنولوجيا ألاشعة</t>
  </si>
  <si>
    <t>تشغيل أجهزة التصوير الطبي مثل الأشعة السينية والرنين المغناطيسي للمساعدة في تشخيص الأمراض.</t>
  </si>
  <si>
    <t>إسعاف والطوارئ</t>
  </si>
  <si>
    <t>تقديم الرعاية الطبية السريعة للحالات الطارئة والحوادث قبل وأثناء نقل المصاب إلى المستشفى.</t>
  </si>
  <si>
    <t>السمع والنطق</t>
  </si>
  <si>
    <t>تشخيص وعلاج اضطرابات النطق واللغة والتواصل لدى الأطفال والكبار.</t>
  </si>
  <si>
    <t>علوم طب الأسنان المساندة</t>
  </si>
  <si>
    <t>دعم طبيب الأسنان في العيادة مثل التعقيم، تحضير الأدوات، ومساعدة المرضى أثناء العلاج.</t>
  </si>
  <si>
    <t>الهندسة الميكانيكية</t>
  </si>
  <si>
    <t>تصميم وصيانة الأنظمة والآلات الميكانيكية مثل المحركات وأنظمة التكييف والإنتاج الصناعي.</t>
  </si>
  <si>
    <t>تحويل المواد الخام إلى منتجات مثل الأدوية والوقود والمواد الغذائية عبر عمليات صناعية وكيميائية.</t>
  </si>
  <si>
    <t>الهندسة الطبية الحيوية</t>
  </si>
  <si>
    <t>دمج الهندسة مع الطب لتصميم وتطوير الأجهزة الطبية مثل الأطراف الصناعية وأجهزة التصوير والتشخيص.</t>
  </si>
  <si>
    <t>الهندسة النووية</t>
  </si>
  <si>
    <t>تصميم وتشغيل المفاعلات النووية وإنتاج الطاقة النووية بأمان.</t>
  </si>
  <si>
    <t>تنظيم وتحسين العمل داخل المصانع والشركات لزيادة الكفاءة وتقليل التكاليف.</t>
  </si>
  <si>
    <t>تصميم وتطوير أجزاء الحاسوب مثل المعالج والأنظمة الإلكترونية.</t>
  </si>
  <si>
    <t>هندسة الطيران</t>
  </si>
  <si>
    <t>تصميم وصيانة الطائرات وأنظمة الطيران.</t>
  </si>
  <si>
    <t>العمارة</t>
  </si>
  <si>
    <t>تصميم المباني من الناحية الجمالية والوظيفية.</t>
  </si>
  <si>
    <t>الهندسة المدنية</t>
  </si>
  <si>
    <t>بناء الطرق والجسور والمباني وشبكات المياه.</t>
  </si>
  <si>
    <t>الهندسة الكهرباء</t>
  </si>
  <si>
    <t>تصميم وتشغيل أنظمة الكهرباء والطاقة.</t>
  </si>
  <si>
    <t>تعلم البرمجة وتطوير البرامج والتطبيقات.</t>
  </si>
  <si>
    <t>تطوير البرامج والتطبيقات بطريقة منظمة لضمان جودتها.</t>
  </si>
  <si>
    <t>امن السيبراني</t>
  </si>
  <si>
    <t>حماية الأجهزة والشبكات من الاختراق والهجمات الإلكترونية.</t>
  </si>
  <si>
    <t>تحليل البيانات واستخراج معلومات مفيدة منها.</t>
  </si>
  <si>
    <t>الذكاء اإلصطناعي</t>
  </si>
  <si>
    <t>إنشاء أنظمة ذكية تتعلم وتفكر مثل الروبوتات والتطبيقات الذكية.</t>
  </si>
  <si>
    <t>دراسة الرياضيات وتطبيقاتها في مختلف المجالات.</t>
  </si>
  <si>
    <t>دراسة قوانين الطبيعة مثل الحركة والطاقة والكهرباء.</t>
  </si>
  <si>
    <t>دراسة المواد وتفاعلاتها واستخداماتها.</t>
  </si>
  <si>
    <t>التقانات الحيوية والهندسة الوراثية</t>
  </si>
  <si>
    <t>تعديل وتحسين الكائنات الحية لأغراض طبية أو زراعية.</t>
  </si>
  <si>
    <t>االنتاج النباتي</t>
  </si>
  <si>
    <t>زراعة وتحسين المحاصيل لزيادة الإنتاج وجودته.</t>
  </si>
  <si>
    <t>تربية ورعاية الحيوانات وإنتاج اللحوم والحليب والمنتجات الحيوانية.</t>
  </si>
  <si>
    <t>التربة والري</t>
  </si>
  <si>
    <t>دراسة التربة وطرق الري لتحسين الزراعة وزيادة الإنتاج.</t>
  </si>
  <si>
    <t>اللغة الانجليزية واللغويات</t>
  </si>
  <si>
    <t>دراسة اللغة الإنجليزية وقواعدها وأصواتها وتحليلها اللغوي.</t>
  </si>
  <si>
    <t>جامعة الحسين بن طلال</t>
  </si>
  <si>
    <t>معان</t>
  </si>
  <si>
    <t>التحاليل الطبية</t>
  </si>
  <si>
    <t>إجراء الفحوصات المخبرية للدم والعينات لتشخيص الأمراض.</t>
  </si>
  <si>
    <t>هندسة البيئة</t>
  </si>
  <si>
    <t>حماية البيئة ومعالجة التلوث وإدارة الموارد الطبيعية.</t>
  </si>
  <si>
    <t>هندسة التعدين</t>
  </si>
  <si>
    <t>استخراج المعادن من الأرض ودراسة طرق التعدين الآمنة.</t>
  </si>
  <si>
    <t>تصميم وتطوير مكونات الحاسوب المادية والأنظمة المدمجة.</t>
  </si>
  <si>
    <t>هندسة امن الشبكات والمعلومات</t>
  </si>
  <si>
    <t>حماية الشبكات والأنظمة من الاختراق وتأمين المعلومات.</t>
  </si>
  <si>
    <t>الهندسة الكيماوية</t>
  </si>
  <si>
    <t>تحويل المواد الخام إلى منتجات مفيدة عبر عمليات صناعية.</t>
  </si>
  <si>
    <t>هندسة الاتصالات</t>
  </si>
  <si>
    <t>تصميم أنظمة الاتصالات مثل شبكات الهاتف والإنترنت.</t>
  </si>
  <si>
    <t>بناء وتصميم الطرق والجسور والمباني.</t>
  </si>
  <si>
    <t>تصميم وصيانة الآلات والأنظمة الميكانيكية.</t>
  </si>
  <si>
    <t>الهندسة الكهربائية</t>
  </si>
  <si>
    <t>تصميم أنظمة الطاقة الشمسية وطاقة الرياح ومصادر الطاقة النظيفة.</t>
  </si>
  <si>
    <t>علم الحاسوب</t>
  </si>
  <si>
    <t>إدارة الأنظمة المعلوماتية وقواعد البيانات داخل المؤسسات.</t>
  </si>
  <si>
    <t>تصميم وتطوير البرمجيات بطريقة هندسية لضمان الجودة والكفاءة.</t>
  </si>
  <si>
    <t>علم البيانات والذكاء االصطناعي</t>
  </si>
  <si>
    <t>تحليل البيانات واستخدام تقنيات الذكاء الاصطناعي لاستخراج معلومات واتخاذ قرارات ذكية.</t>
  </si>
  <si>
    <t>دراسة الأرقام والمعادلات وتطبيقاتها في مختلف المجالات.</t>
  </si>
  <si>
    <t>دراسة المواد وتفاعلاتها وخصائصها.</t>
  </si>
  <si>
    <t>العلوم الحياتية</t>
  </si>
  <si>
    <t>دراسة الكائنات الحية ووظائفها وتركيبها.</t>
  </si>
  <si>
    <t>دراسة اللغة العربية وقواعدها وأدبها وشعرها ونصوصها.</t>
  </si>
  <si>
    <t>اللغة االنجليزية وآدابها</t>
  </si>
  <si>
    <t>دراسة اللغة الإنجليزية وقواعدها وأدبها وتحليل النصوص.</t>
  </si>
  <si>
    <t>دراسة أحداث الماضي وتحليلها وفهم تطور الحضارات.</t>
  </si>
  <si>
    <t>الجغرافيا</t>
  </si>
  <si>
    <t>دراسة الأماكن والخرائط والظواهر الطبيعية والبشرية.</t>
  </si>
  <si>
    <t>علم المكتبات وتكنولوجيا المعلومات</t>
  </si>
  <si>
    <t>تنظيم وإدارة المعلومات والمكتبات باستخدام التقنيات الحديثة.</t>
  </si>
  <si>
    <t>تدريس جميع المواد الأساسية لطلاب المرحلة الابتدائية.</t>
  </si>
  <si>
    <t>تعليم ودعم الطلبة من ذوي الاحتياجات الخاصة.</t>
  </si>
  <si>
    <t>رياض الأطفال</t>
  </si>
  <si>
    <t>تعليم الأطفال الصغار وتنمية مهاراتهم في المراحل المبكرة.</t>
  </si>
  <si>
    <t>الأثار</t>
  </si>
  <si>
    <t>دراسة الحضارات القديمة واكتشاف المواقع الأثرية.</t>
  </si>
  <si>
    <t>الأقتصاد</t>
  </si>
  <si>
    <t>دراسة الإنتاج والاستهلاك والأسواق والمال.</t>
  </si>
  <si>
    <t>تسجيل وتنظيم الأمور المالية وإعداد التقارير والحسابات.</t>
  </si>
  <si>
    <t>إدارة الشركات وتنظيم العمل واتخاذ القرارات الإدارية.</t>
  </si>
  <si>
    <t>العلوم المالية والمصرفية</t>
  </si>
  <si>
    <t>دراسة إدارة الأموال والبنوك والاستثمار والخدمات المصرفية.</t>
  </si>
  <si>
    <t>نظم المعلومات الأدارية</t>
  </si>
  <si>
    <t>استخدام أنظمة المعلومات لدعم القرارات الإدارية داخل المؤسسات.</t>
  </si>
  <si>
    <t>الأدارة السياحية</t>
  </si>
  <si>
    <t>إدارة وتنظيم الأنشطة السياحية والبرامج والرحلات.</t>
  </si>
  <si>
    <t>الأدارة الفندقية</t>
  </si>
  <si>
    <t>إدارة الفنادق وخدمات الضيافة وتنظيم العمل داخلها.</t>
  </si>
  <si>
    <t>دراسة القوانين والأنظمة وتنظيم العلاقات بين الأفراد والمؤسسات.</t>
  </si>
  <si>
    <t>جامعة الطفيلة التقنية</t>
  </si>
  <si>
    <t>الطفيلة</t>
  </si>
  <si>
    <t>تصميم وبناء الطرق والجسور والمباني والبنية التحتية.</t>
  </si>
  <si>
    <t>هندسة الصناعات الكيميائية</t>
  </si>
  <si>
    <t>تحويل المواد الخام إلى منتجات عبر عمليات صناعية كيميائية.</t>
  </si>
  <si>
    <t>استخراج المعادن من الأرض ودراسة طرق التعدين.</t>
  </si>
  <si>
    <t>هندسة القوى الكهربائية</t>
  </si>
  <si>
    <t>تصميم وتشغيل أنظمة توليد ونقل الطاقة الكهربائية.</t>
  </si>
  <si>
    <t>تصميم وتطوير مكونات وأنظمة الحاسوب.</t>
  </si>
  <si>
    <t>الهندسة الجيولوجية</t>
  </si>
  <si>
    <t>دراسة الأرض والصخور وتطبيقاتها في المشاريع الهندسية.</t>
  </si>
  <si>
    <t>هندسة الاتصالات والالكترونيات</t>
  </si>
  <si>
    <t>تصميم أنظمة الاتصالات والإلكترونيات مثل شبكات الهاتف والإنترنت.</t>
  </si>
  <si>
    <t>هندسة الطاقة المتجددة المتكاملة</t>
  </si>
  <si>
    <t>تصميم أنظمة الطاقة الشمسية والرياح ومصادر الطاقة النظيفة.</t>
  </si>
  <si>
    <t>دراسة المعادلات والأرقام وتطبيقاتها العلمية.</t>
  </si>
  <si>
    <t>الفيزياء التطبيقية</t>
  </si>
  <si>
    <t>تطبيق مفاهيم الفيزياء في المجالات العملية والصناعية.</t>
  </si>
  <si>
    <t>دراسة المواد وتفاعلاتها واستخداماتها المختلفة.</t>
  </si>
  <si>
    <t>العلوم الحياتية التطبيقية</t>
  </si>
  <si>
    <t>دراسة الكائنات الحية وتطبيقاتها في المجالات الطبية والزراعية والمخبرية.</t>
  </si>
  <si>
    <t>الأحصاء التطبيقي</t>
  </si>
  <si>
    <t>استخدام الإحصاء لتحليل البيانات ودعم اتخاذ القرار.</t>
  </si>
  <si>
    <t>اللغة الأنجليزية وآدابها</t>
  </si>
  <si>
    <t>دراسة اللغة العربية وقواعدها وأدبها ونصوصها.</t>
  </si>
  <si>
    <t>تعليم ودعم الأشخاص من ذوي الاحتياجات الخاصة.</t>
  </si>
  <si>
    <t>إدارة األعمال</t>
  </si>
  <si>
    <t>إدارة وتنظيم أعمال الشركات واتخاذ القرارات الإدارية.</t>
  </si>
  <si>
    <t>تنظيم وتسجيل العمليات المالية وإعداد التقارير والحسابات.</t>
  </si>
  <si>
    <t>دراسة البنوك والاستثمار وإدارة الأموال والخدمات المصرفية.</t>
  </si>
  <si>
    <t>جامعة البلقاء التطبيقية</t>
  </si>
  <si>
    <t>السلط</t>
  </si>
  <si>
    <t>دكتور في الطب</t>
  </si>
  <si>
    <t>تشخيص الأمراض وعلاج المرضى والعمل في المستشفيات والعيادات.</t>
  </si>
  <si>
    <t>إجراء الفحوصات المخبرية لتحليل العينات وتشخيص الأمراض.</t>
  </si>
  <si>
    <t>هندسة المواد</t>
  </si>
  <si>
    <t>دراسة وتطوير المواد وخصائصها واستخداماتها الصناعية.</t>
  </si>
  <si>
    <t>هندسة الأتوترونكس</t>
  </si>
  <si>
    <t>دمج الميكانيك والكهرباء والإلكترونيات في أنظمة السيارات الحديثة.</t>
  </si>
  <si>
    <t>تصميم وبناء الطرق والجسور والمباني.</t>
  </si>
  <si>
    <t>إدارة أنظمة المعلومات وقواعد البيانات داخل المؤسسات.</t>
  </si>
  <si>
    <t>تصميم وتطوير البرمجيات والتطبيقات بطريقة منظمة.</t>
  </si>
  <si>
    <t>دراسة البرمجة والخوارزميات وتطوير الأنظمة والتطبيقات الحاسوبية.</t>
  </si>
  <si>
    <t>أمن المعلومات والفضاء الألكتروني</t>
  </si>
  <si>
    <t>حماية الشبكات والأنظمة والمعلومات من الاختراق والهجمات الإلكترونية.</t>
  </si>
  <si>
    <t>تحليل البيانات واستخراج معلومات مفيدة لاتخاذ القرارات.</t>
  </si>
  <si>
    <t>دراسة المواد وتفاعلاتها وخصائصها واستخداماتها.</t>
  </si>
  <si>
    <t>الرسم الحاسوبي والرسوم المتحركة</t>
  </si>
  <si>
    <t>إنشاء رسومات وتصاميم رقمية وتحريك الشخصيات والرسوم المتحركة.</t>
  </si>
  <si>
    <t>إدارة موارد المياه والبيئة</t>
  </si>
  <si>
    <t>إدارة الموارد المائية وحماية البيئة من التلوث.</t>
  </si>
  <si>
    <t>التقنيات الحيوية الزراعية</t>
  </si>
  <si>
    <t>استخدام التقنيات الحيوية لتحسين المحاصيل الزراعية وزيادة الإنتاج.</t>
  </si>
  <si>
    <t>التغذية والتصنيع الغذائي</t>
  </si>
  <si>
    <t>دراسة التغذية وإنتاج وتصنيع الأغذية بشكل صحي وآمن.</t>
  </si>
  <si>
    <t>إنتاج ووقاية النبات</t>
  </si>
  <si>
    <t>إنتاج المحاصيل الزراعية وحمايتها من الأمراض والآفات.</t>
  </si>
  <si>
    <t>إدارة المكتبات والمعلومات</t>
  </si>
  <si>
    <t>تنظيم وإدارة المكتبات والمعلومات باستخدام الأساليب والتقنيات الحديثة.</t>
  </si>
  <si>
    <t>اللغة الأنجليزية وادابه</t>
  </si>
  <si>
    <t>علم النفس التطبيقي</t>
  </si>
  <si>
    <t>دراسة السلوك البشري وتطبيقه في المجالات النفسية والتعليمية.</t>
  </si>
  <si>
    <t>الارشاد النفسي والتربوي</t>
  </si>
  <si>
    <t>تقديم الدعم والإرشاد النفسي والتربوي للطلاب والأفراد.</t>
  </si>
  <si>
    <t>دراسة تسويق المنتجات والخدمات وتحليل السوق وجذب العملاء.</t>
  </si>
  <si>
    <t>إدارة وتنظيم الشركات واتخاذ القرارات الإدارية.</t>
  </si>
  <si>
    <t>إدارة وتسجيل العمليات المحاسبية باستخدام نظم المعلومات.</t>
  </si>
  <si>
    <t>تخطيط وادارة المشاريع</t>
  </si>
  <si>
    <t>تخطيط وتنفيذ المشاريع ومتابعة الموارد والجدول الزمني.</t>
  </si>
  <si>
    <t>الحصن</t>
  </si>
  <si>
    <t>تعلم البرمجة وتطوير البرامج والتطبيقات الحاسوبية.</t>
  </si>
  <si>
    <t>عجلون</t>
  </si>
  <si>
    <t>دراسة الأرقام والمعادلات وتطبيقاتها العلمية.</t>
  </si>
  <si>
    <t>الأرشاد النفسي والتربوي</t>
  </si>
  <si>
    <t>الدراسات الأسلامية التطبيقية</t>
  </si>
  <si>
    <t>دراسة العلوم الإسلامية وتطبيقاتها في الحياة اليومية والمجتمع.</t>
  </si>
  <si>
    <t>الشوبك</t>
  </si>
  <si>
    <t>انتاج ووقاية النبات</t>
  </si>
  <si>
    <t>العقبة</t>
  </si>
  <si>
    <t>إدارة الفنادق</t>
  </si>
  <si>
    <t>إدارة وتشغيل الفنادق وخدمات الضيافة وتنظيم العمل داخلها.</t>
  </si>
  <si>
    <t>ادارة الشحن والتخليص</t>
  </si>
  <si>
    <t>تنظيم وإدارة الشحن والتخليص الجمركي للبضائع.</t>
  </si>
  <si>
    <t>الموقر</t>
  </si>
  <si>
    <t>الاسعاف  الطبي المتخصص</t>
  </si>
  <si>
    <t>تقديم الرعاية الطبية الطارئة والمتخصصة للمرضى والمصابين.</t>
  </si>
  <si>
    <t>إدارة الكوارث والأزمات</t>
  </si>
  <si>
    <t>تخطيط وإدارة الكوارث والأزمات والطوارئ في المؤسسات والمجتمع.</t>
  </si>
  <si>
    <t>جامعة العلوم الاسلامية العالمية</t>
  </si>
  <si>
    <t>تعلم البرمجة وتطوير الأنظمة والتطبيقات الحاسوبية.</t>
  </si>
  <si>
    <t>تصميم وتطوير البرمجيات بطريقة منظمة لضمان الجودة والكفاءة.</t>
  </si>
  <si>
    <t>نظم شبكات الحاسوب</t>
  </si>
  <si>
    <t>إعداد وتشغيل شبكات الحاسوب وربط الأجهزة والأنظمة.</t>
  </si>
  <si>
    <t>أمن وسرية الشبكات والمعلومات</t>
  </si>
  <si>
    <t>حماية الشبكات والمعلومات من الاختراق وضمان سرية البيانات.</t>
  </si>
  <si>
    <t>الأرشاد والصحة النفسية</t>
  </si>
  <si>
    <t>تقديم الدعم والإرشاد النفسي والصحي للطلاب والأفراد.</t>
  </si>
  <si>
    <t>استخدام نظم المعلومات لدعم القرارات الإدارية داخل المؤسسات.</t>
  </si>
  <si>
    <t>المصارف الأسالمية</t>
  </si>
  <si>
    <t>دراسة البنوك والخدمات المالية الإسلامية وفق الشريعة الإسلامية.</t>
  </si>
  <si>
    <t>إدارة الأموال والبنوك والاستثمار والخدمات المصرفية.</t>
  </si>
  <si>
    <t>دراسة أساسيات الدين الإسلامي وتعاليمه ومبادئه.</t>
  </si>
  <si>
    <t>القراءات القرآنية</t>
  </si>
  <si>
    <t>تلاوة وتحليل القراءات المختلفة للقرآن الكريم.</t>
  </si>
  <si>
    <t>دراسة الفقه الإسلامي وقواعده وأصوله وتطبيقاته العملية.</t>
  </si>
  <si>
    <t>الفقه الحنفي</t>
  </si>
  <si>
    <t>دراسة الفقه الحنفي وتطبيقاته وفق مذهب الإمام أبو حنيفة.</t>
  </si>
  <si>
    <t>القضاء والأفتاء</t>
  </si>
  <si>
    <t>دراسة القضاء وإصدار الأحكام الشرعية والإفتاء.</t>
  </si>
  <si>
    <t>الفقه الشافعي</t>
  </si>
  <si>
    <t>دراسة الفقه الشافعي وتطبيقاته وفق مذهب الإمام الشافعي.</t>
  </si>
  <si>
    <t>الفقه المالكي</t>
  </si>
  <si>
    <t>دراسة الفقه المالكي وتطبيقاته وفق مذهب الإمام مالك.</t>
  </si>
  <si>
    <t>التاريخ والحضارة الاسلامية</t>
  </si>
  <si>
    <t>دراسة التاريخ والحضارة الإسلامية وتطورها عبر العصور.</t>
  </si>
  <si>
    <t>GPA</t>
  </si>
  <si>
    <t>Interest_Tech</t>
  </si>
  <si>
    <t>Interest_Health</t>
  </si>
  <si>
    <t>Interest_Business</t>
  </si>
  <si>
    <t>Interest_Arts</t>
  </si>
  <si>
    <t>Logical</t>
  </si>
  <si>
    <t>Social</t>
  </si>
  <si>
    <t>Creative</t>
  </si>
  <si>
    <t>Practical</t>
  </si>
  <si>
    <t>Practical_Ratio</t>
  </si>
  <si>
    <t>Stream</t>
  </si>
  <si>
    <t>IT</t>
  </si>
  <si>
    <t>Medical</t>
  </si>
  <si>
    <t>Business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</si>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</sst>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alibri"/>
    </font>
    <font>
      <sz val="11"/>
      <color rgb="FF2B2B2B"/>
      <name val="Cairo"/>
      <charset val="1"/>
    </font>
    <font>
      <sz val="11"/>
      <color rgb="FF000000"/>
      <name val="Aptos Narrow"/>
      <charset val="1"/>
    </font>
    <font>
      <sz val="10"/>
      <color rgb="FF000000"/>
      <name val="Aptos Narrow"/>
    </font>
    <font>
      <sz val="10"/>
      <color rgb="FF000000"/>
      <name val="Aptos Narrow"/>
      <charset val="1"/>
    </font>
    <font>
      <sz val="11"/>
      <color rgb="FF000000"/>
      <name val="Calibri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Arial"/>
    </font>
    <font>
      <sz val="11"/>
      <color rgb="FF000000"/>
      <name val="Aptos Narrow"/>
      <scheme val="minor"/>
    </font>
    <font>
      <sz val="11"/>
      <color rgb="FF000000"/>
      <name val="Arial"/>
      <charset val="1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iro"/>
      <charset val="1"/>
    </font>
    <font>
      <sz val="11"/>
      <color theme="1"/>
      <name val="Calibri"/>
    </font>
    <font>
      <sz val="11"/>
      <color theme="1"/>
      <name val="Aptos Narrow"/>
      <charset val="1"/>
    </font>
    <font>
      <sz val="10"/>
      <color rgb="FF000000"/>
      <name val="Abadi"/>
    </font>
    <font>
      <b/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center" readingOrder="2"/>
    </xf>
    <xf numFmtId="2" fontId="15" fillId="3" borderId="1" xfId="0" applyNumberFormat="1" applyFont="1" applyFill="1" applyBorder="1" applyAlignment="1">
      <alignment horizontal="center" wrapText="1" readingOrder="2"/>
    </xf>
    <xf numFmtId="2" fontId="15" fillId="3" borderId="1" xfId="0" applyNumberFormat="1" applyFont="1" applyFill="1" applyBorder="1" applyAlignment="1">
      <alignment horizontal="center" readingOrder="2"/>
    </xf>
    <xf numFmtId="0" fontId="16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readingOrder="2"/>
    </xf>
    <xf numFmtId="0" fontId="4" fillId="2" borderId="1" xfId="0" applyFont="1" applyFill="1" applyBorder="1" applyAlignment="1">
      <alignment horizontal="center" wrapText="1" readingOrder="2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readingOrder="2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readingOrder="2"/>
    </xf>
    <xf numFmtId="0" fontId="16" fillId="3" borderId="2" xfId="0" applyFont="1" applyFill="1" applyBorder="1"/>
    <xf numFmtId="0" fontId="21" fillId="3" borderId="2" xfId="0" applyFont="1" applyFill="1" applyBorder="1"/>
    <xf numFmtId="0" fontId="1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 wrapText="1" readingOrder="2"/>
    </xf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 readingOrder="2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readingOrder="2"/>
    </xf>
    <xf numFmtId="2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7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10" fillId="0" borderId="1" xfId="0" applyFont="1" applyBorder="1" applyAlignment="1">
      <alignment readingOrder="2"/>
    </xf>
    <xf numFmtId="0" fontId="0" fillId="2" borderId="1" xfId="0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2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2" fillId="0" borderId="3" xfId="0" applyFont="1" applyBorder="1"/>
    <xf numFmtId="0" fontId="3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6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4"/>
  <sheetViews>
    <sheetView tabSelected="1" workbookViewId="0">
      <pane ySplit="1" topLeftCell="R376" activePane="bottomLeft" state="frozen"/>
      <selection pane="bottomLeft" activeCell="U387" sqref="U387"/>
    </sheetView>
  </sheetViews>
  <sheetFormatPr defaultRowHeight="15"/>
  <cols>
    <col min="1" max="1" width="22.85546875" style="26" customWidth="1"/>
    <col min="2" max="2" width="12.7109375" style="26" customWidth="1"/>
    <col min="3" max="3" width="24.42578125" style="26" customWidth="1"/>
    <col min="4" max="4" width="23.140625" style="26" customWidth="1"/>
    <col min="5" max="5" width="19.7109375" style="26" customWidth="1"/>
    <col min="6" max="6" width="18.5703125" style="26" customWidth="1"/>
    <col min="7" max="7" width="20" style="26" customWidth="1"/>
    <col min="8" max="8" width="19" style="26" customWidth="1"/>
    <col min="9" max="10" width="19.140625" style="26" customWidth="1"/>
    <col min="11" max="11" width="17.28515625" style="52" customWidth="1"/>
    <col min="12" max="12" width="22.7109375" style="52" customWidth="1"/>
    <col min="13" max="13" width="14.85546875" style="52" customWidth="1"/>
    <col min="14" max="14" width="14.85546875" style="26" customWidth="1"/>
    <col min="15" max="16" width="14.85546875" style="52" customWidth="1"/>
    <col min="17" max="18" width="14.85546875" style="26" customWidth="1"/>
    <col min="19" max="19" width="19.7109375" style="26" customWidth="1"/>
    <col min="20" max="20" width="13.140625" style="26" customWidth="1"/>
    <col min="21" max="21" width="87.5703125" style="26" customWidth="1"/>
    <col min="22" max="22" width="10.85546875" style="26" bestFit="1" customWidth="1"/>
    <col min="23" max="16384" width="9.140625" style="26"/>
  </cols>
  <sheetData>
    <row r="1" spans="1:22" s="53" customFormat="1" ht="24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0" t="s">
        <v>20</v>
      </c>
      <c r="V1" s="6" t="s">
        <v>21</v>
      </c>
    </row>
    <row r="2" spans="1:22">
      <c r="A2" s="27" t="s">
        <v>22</v>
      </c>
      <c r="B2" s="27" t="s">
        <v>23</v>
      </c>
      <c r="C2" s="27" t="s">
        <v>24</v>
      </c>
      <c r="D2" s="27" t="s">
        <v>25</v>
      </c>
      <c r="E2" s="12">
        <v>99.4</v>
      </c>
      <c r="F2" s="12">
        <v>97.5</v>
      </c>
      <c r="G2" s="12">
        <v>98.25</v>
      </c>
      <c r="H2" s="12">
        <v>98.55</v>
      </c>
      <c r="I2" s="14">
        <v>98.55</v>
      </c>
      <c r="J2" s="14">
        <f>AVERAGE(E2:I2)</f>
        <v>98.45</v>
      </c>
      <c r="K2" s="28">
        <v>257</v>
      </c>
      <c r="L2" s="28">
        <v>45</v>
      </c>
      <c r="M2" s="28">
        <v>175</v>
      </c>
      <c r="N2" s="14">
        <f>IF(ROUNDUP(IF(K2 &gt; 132, K2 / 40, K2 / 36), 0) &gt;= 7, 6, ROUNDUP(IF(K2 &gt; 132, K2 / 40, K2 / 36), 0))</f>
        <v>6</v>
      </c>
      <c r="O2" s="28">
        <f>L2*K2</f>
        <v>11565</v>
      </c>
      <c r="P2" s="28">
        <f>K2*M2</f>
        <v>44975</v>
      </c>
      <c r="Q2" s="7">
        <v>1</v>
      </c>
      <c r="R2" s="14">
        <v>3</v>
      </c>
      <c r="S2" s="14">
        <v>4</v>
      </c>
      <c r="T2" s="29">
        <v>2</v>
      </c>
      <c r="U2" s="27" t="s">
        <v>26</v>
      </c>
      <c r="V2" s="15">
        <v>1</v>
      </c>
    </row>
    <row r="3" spans="1:22">
      <c r="A3" s="27" t="s">
        <v>22</v>
      </c>
      <c r="B3" s="27" t="s">
        <v>23</v>
      </c>
      <c r="C3" s="27" t="s">
        <v>27</v>
      </c>
      <c r="D3" s="27" t="s">
        <v>25</v>
      </c>
      <c r="E3" s="12">
        <v>98.7</v>
      </c>
      <c r="F3" s="12">
        <v>95.65</v>
      </c>
      <c r="G3" s="12">
        <v>97.15</v>
      </c>
      <c r="H3" s="12">
        <v>97.6</v>
      </c>
      <c r="I3" s="14">
        <v>97.8</v>
      </c>
      <c r="J3" s="14">
        <f t="shared" ref="J3:J66" si="0">AVERAGE(E3:I3)</f>
        <v>97.38000000000001</v>
      </c>
      <c r="K3" s="28">
        <v>198</v>
      </c>
      <c r="L3" s="28">
        <v>40</v>
      </c>
      <c r="M3" s="28">
        <v>175</v>
      </c>
      <c r="N3" s="14">
        <f>IF(ROUNDUP(IF(K3 &gt; 132, K3 / 40, K3 / 36), 0) &gt;= 7, 6, ROUNDUP(IF(K3 &gt; 132, K3 / 40, K3 / 36), 0))</f>
        <v>5</v>
      </c>
      <c r="O3" s="28">
        <f>L3*K3</f>
        <v>7920</v>
      </c>
      <c r="P3" s="28">
        <f>K3*M3</f>
        <v>34650</v>
      </c>
      <c r="Q3" s="14">
        <v>1</v>
      </c>
      <c r="R3" s="14">
        <v>3</v>
      </c>
      <c r="S3" s="14">
        <v>4</v>
      </c>
      <c r="T3" s="29">
        <v>1</v>
      </c>
      <c r="U3" s="27" t="s">
        <v>28</v>
      </c>
      <c r="V3" s="17">
        <v>1</v>
      </c>
    </row>
    <row r="4" spans="1:22">
      <c r="A4" s="27" t="s">
        <v>22</v>
      </c>
      <c r="B4" s="27" t="s">
        <v>23</v>
      </c>
      <c r="C4" s="27" t="s">
        <v>29</v>
      </c>
      <c r="D4" s="27" t="s">
        <v>25</v>
      </c>
      <c r="E4" s="11">
        <v>97.8</v>
      </c>
      <c r="F4" s="11">
        <v>92.95</v>
      </c>
      <c r="G4" s="11">
        <v>94.9</v>
      </c>
      <c r="H4" s="11">
        <v>96.4</v>
      </c>
      <c r="I4" s="14">
        <v>95</v>
      </c>
      <c r="J4" s="14">
        <f t="shared" si="0"/>
        <v>95.41</v>
      </c>
      <c r="K4" s="28">
        <v>165</v>
      </c>
      <c r="L4" s="28">
        <v>29</v>
      </c>
      <c r="M4" s="28">
        <v>90</v>
      </c>
      <c r="N4" s="14">
        <f>IF(ROUNDUP(IF(K4 &gt; 132, K4 / 40, K4 / 36), 0) &gt;= 7, 6, ROUNDUP(IF(K4 &gt; 132, K4 / 40, K4 / 36), 0))</f>
        <v>5</v>
      </c>
      <c r="O4" s="28">
        <f>L4*K4</f>
        <v>4785</v>
      </c>
      <c r="P4" s="28">
        <f>K4*M4</f>
        <v>14850</v>
      </c>
      <c r="Q4" s="14">
        <v>1</v>
      </c>
      <c r="R4" s="14">
        <v>3</v>
      </c>
      <c r="S4" s="14">
        <v>3</v>
      </c>
      <c r="T4" s="29">
        <v>1</v>
      </c>
      <c r="U4" s="27" t="s">
        <v>30</v>
      </c>
      <c r="V4" s="17">
        <v>1</v>
      </c>
    </row>
    <row r="5" spans="1:22">
      <c r="A5" s="27" t="s">
        <v>22</v>
      </c>
      <c r="B5" s="27" t="s">
        <v>23</v>
      </c>
      <c r="C5" s="27" t="s">
        <v>31</v>
      </c>
      <c r="D5" s="27" t="s">
        <v>25</v>
      </c>
      <c r="E5" s="11">
        <v>96.7</v>
      </c>
      <c r="F5" s="11">
        <v>90.05</v>
      </c>
      <c r="G5" s="11">
        <v>94</v>
      </c>
      <c r="H5" s="11">
        <v>95.4</v>
      </c>
      <c r="I5" s="14">
        <v>92</v>
      </c>
      <c r="J5" s="14">
        <f t="shared" si="0"/>
        <v>93.63</v>
      </c>
      <c r="K5" s="28">
        <v>135</v>
      </c>
      <c r="L5" s="28">
        <v>15</v>
      </c>
      <c r="M5" s="28">
        <v>65</v>
      </c>
      <c r="N5" s="14">
        <f>IF(ROUNDUP(IF(K5 &gt; 132, K5 / 40, K5 / 36), 0) &gt;= 7, 6, ROUNDUP(IF(K5 &gt; 132, K5 / 40, K5 / 36), 0))</f>
        <v>4</v>
      </c>
      <c r="O5" s="28">
        <f>L5*K5</f>
        <v>2025</v>
      </c>
      <c r="P5" s="28">
        <f>K5*M5</f>
        <v>8775</v>
      </c>
      <c r="Q5" s="14">
        <v>1</v>
      </c>
      <c r="R5" s="14">
        <v>3</v>
      </c>
      <c r="S5" s="14">
        <v>3</v>
      </c>
      <c r="T5" s="29">
        <v>1</v>
      </c>
      <c r="U5" s="30" t="s">
        <v>32</v>
      </c>
      <c r="V5" s="17">
        <v>1</v>
      </c>
    </row>
    <row r="6" spans="1:22">
      <c r="A6" s="27" t="s">
        <v>22</v>
      </c>
      <c r="B6" s="27" t="s">
        <v>23</v>
      </c>
      <c r="C6" s="27" t="s">
        <v>33</v>
      </c>
      <c r="D6" s="27" t="s">
        <v>25</v>
      </c>
      <c r="E6" s="29">
        <v>96.65</v>
      </c>
      <c r="F6" s="29">
        <v>90</v>
      </c>
      <c r="G6" s="29">
        <v>94.35</v>
      </c>
      <c r="H6" s="29">
        <v>95.35</v>
      </c>
      <c r="I6" s="14">
        <v>91</v>
      </c>
      <c r="J6" s="14">
        <f t="shared" si="0"/>
        <v>93.47</v>
      </c>
      <c r="K6" s="28">
        <v>132</v>
      </c>
      <c r="L6" s="28">
        <v>45</v>
      </c>
      <c r="M6" s="28">
        <v>175</v>
      </c>
      <c r="N6" s="14">
        <f>IF(ROUNDUP(IF(K6 &gt; 132, K6 / 40, K6 / 36), 0) &gt;= 7, 6, ROUNDUP(IF(K6 &gt; 132, K6 / 40, K6 / 36), 0))</f>
        <v>4</v>
      </c>
      <c r="O6" s="28">
        <f>L6*K6</f>
        <v>5940</v>
      </c>
      <c r="P6" s="28">
        <f>K6*M6</f>
        <v>23100</v>
      </c>
      <c r="Q6" s="14">
        <v>1</v>
      </c>
      <c r="R6" s="14">
        <v>4</v>
      </c>
      <c r="S6" s="16">
        <v>3</v>
      </c>
      <c r="T6" s="29">
        <v>1</v>
      </c>
      <c r="U6" s="27" t="s">
        <v>34</v>
      </c>
      <c r="V6" s="17">
        <v>1</v>
      </c>
    </row>
    <row r="7" spans="1:22">
      <c r="A7" s="27" t="s">
        <v>22</v>
      </c>
      <c r="B7" s="27" t="s">
        <v>23</v>
      </c>
      <c r="C7" s="27" t="s">
        <v>35</v>
      </c>
      <c r="D7" s="27" t="s">
        <v>25</v>
      </c>
      <c r="E7" s="11">
        <v>96.7</v>
      </c>
      <c r="F7" s="11">
        <v>90.35</v>
      </c>
      <c r="G7" s="11">
        <v>93</v>
      </c>
      <c r="H7" s="11">
        <v>94.45</v>
      </c>
      <c r="I7" s="14">
        <v>93.7</v>
      </c>
      <c r="J7" s="14">
        <f t="shared" si="0"/>
        <v>93.64</v>
      </c>
      <c r="K7" s="28">
        <v>132</v>
      </c>
      <c r="L7" s="28">
        <v>34</v>
      </c>
      <c r="M7" s="28">
        <v>65</v>
      </c>
      <c r="N7" s="14">
        <f>IF(ROUNDUP(IF(K7 &gt; 132, K7 / 40, K7 / 36), 0) &gt;= 7, 6, ROUNDUP(IF(K7 &gt; 132, K7 / 40, K7 / 36), 0))</f>
        <v>4</v>
      </c>
      <c r="O7" s="28">
        <f>L7*K7</f>
        <v>4488</v>
      </c>
      <c r="P7" s="28">
        <f>K7*M7</f>
        <v>8580</v>
      </c>
      <c r="Q7" s="14">
        <v>1</v>
      </c>
      <c r="R7" s="14">
        <v>3</v>
      </c>
      <c r="S7" s="14">
        <v>2</v>
      </c>
      <c r="T7" s="29">
        <v>1</v>
      </c>
      <c r="U7" s="31" t="s">
        <v>36</v>
      </c>
      <c r="V7" s="17">
        <v>1</v>
      </c>
    </row>
    <row r="8" spans="1:22">
      <c r="A8" s="27" t="s">
        <v>22</v>
      </c>
      <c r="B8" s="27" t="s">
        <v>23</v>
      </c>
      <c r="C8" s="27" t="s">
        <v>37</v>
      </c>
      <c r="D8" s="27" t="s">
        <v>25</v>
      </c>
      <c r="E8" s="11">
        <v>95.6</v>
      </c>
      <c r="F8" s="11">
        <v>87.2</v>
      </c>
      <c r="G8" s="11">
        <v>91</v>
      </c>
      <c r="H8" s="11">
        <v>93.4</v>
      </c>
      <c r="I8" s="14">
        <v>90.6</v>
      </c>
      <c r="J8" s="14">
        <f t="shared" si="0"/>
        <v>91.560000000000016</v>
      </c>
      <c r="K8" s="28">
        <v>132</v>
      </c>
      <c r="L8" s="28">
        <v>34</v>
      </c>
      <c r="M8" s="28">
        <v>65</v>
      </c>
      <c r="N8" s="14">
        <f>IF(ROUNDUP(IF(K8 &gt; 132, K8 / 40, K8 / 36), 0) &gt;= 7, 6, ROUNDUP(IF(K8 &gt; 132, K8 / 40, K8 / 36), 0))</f>
        <v>4</v>
      </c>
      <c r="O8" s="28">
        <f>L8*K8</f>
        <v>4488</v>
      </c>
      <c r="P8" s="28">
        <f>K8*M8</f>
        <v>8580</v>
      </c>
      <c r="Q8" s="14">
        <v>1</v>
      </c>
      <c r="R8" s="14">
        <v>3</v>
      </c>
      <c r="S8" s="14">
        <v>2</v>
      </c>
      <c r="T8" s="29">
        <v>1</v>
      </c>
      <c r="U8" s="31" t="s">
        <v>38</v>
      </c>
      <c r="V8" s="17">
        <v>1</v>
      </c>
    </row>
    <row r="9" spans="1:22">
      <c r="A9" s="27" t="s">
        <v>22</v>
      </c>
      <c r="B9" s="27" t="s">
        <v>23</v>
      </c>
      <c r="C9" s="27" t="s">
        <v>39</v>
      </c>
      <c r="D9" s="27" t="s">
        <v>25</v>
      </c>
      <c r="E9" s="11">
        <v>98</v>
      </c>
      <c r="F9" s="11">
        <v>93.4</v>
      </c>
      <c r="G9" s="11">
        <v>95.7</v>
      </c>
      <c r="H9" s="11">
        <v>96.6</v>
      </c>
      <c r="I9" s="14">
        <v>96.6</v>
      </c>
      <c r="J9" s="14">
        <f t="shared" si="0"/>
        <v>96.060000000000016</v>
      </c>
      <c r="K9" s="28">
        <v>219</v>
      </c>
      <c r="L9" s="28">
        <v>50</v>
      </c>
      <c r="M9" s="28">
        <v>105</v>
      </c>
      <c r="N9" s="14">
        <f>IF(ROUNDUP(IF(K9 &gt; 132, K9 / 40, K9 / 36), 0) &gt;= 7, 6, ROUNDUP(IF(K9 &gt; 132, K9 / 40, K9 / 36), 0))</f>
        <v>6</v>
      </c>
      <c r="O9" s="28">
        <f>L9*K9</f>
        <v>10950</v>
      </c>
      <c r="P9" s="28">
        <f>K9*M9</f>
        <v>22995</v>
      </c>
      <c r="Q9" s="14">
        <v>1</v>
      </c>
      <c r="R9" s="14">
        <v>4</v>
      </c>
      <c r="S9" s="14">
        <v>4</v>
      </c>
      <c r="T9" s="29">
        <v>1</v>
      </c>
      <c r="U9" s="2" t="s">
        <v>40</v>
      </c>
      <c r="V9" s="15">
        <v>1</v>
      </c>
    </row>
    <row r="10" spans="1:22">
      <c r="A10" s="32" t="s">
        <v>22</v>
      </c>
      <c r="B10" s="32" t="s">
        <v>23</v>
      </c>
      <c r="C10" s="31" t="s">
        <v>41</v>
      </c>
      <c r="D10" s="31" t="s">
        <v>42</v>
      </c>
      <c r="E10" s="11">
        <v>97.7</v>
      </c>
      <c r="F10" s="11">
        <v>90.95</v>
      </c>
      <c r="G10" s="11">
        <v>93.6</v>
      </c>
      <c r="H10" s="11">
        <v>95.85</v>
      </c>
      <c r="I10" s="14">
        <v>94</v>
      </c>
      <c r="J10" s="14">
        <f t="shared" si="0"/>
        <v>94.42</v>
      </c>
      <c r="K10" s="28">
        <v>171</v>
      </c>
      <c r="L10" s="28">
        <v>29</v>
      </c>
      <c r="M10" s="28">
        <v>95</v>
      </c>
      <c r="N10" s="14">
        <f>IF(ROUNDUP(IF(K10 &gt; 132, K10 / 40, K10 / 36), 0) &gt;= 7, 6, ROUNDUP(IF(K10 &gt; 132, K10 / 40, K10 / 36), 0))</f>
        <v>5</v>
      </c>
      <c r="O10" s="28">
        <f>L10*K10</f>
        <v>4959</v>
      </c>
      <c r="P10" s="28">
        <f>K10*M10</f>
        <v>16245</v>
      </c>
      <c r="Q10" s="14">
        <v>1</v>
      </c>
      <c r="R10" s="14">
        <v>3</v>
      </c>
      <c r="S10" s="14">
        <v>3</v>
      </c>
      <c r="T10" s="14">
        <v>0</v>
      </c>
      <c r="U10" s="30" t="s">
        <v>43</v>
      </c>
      <c r="V10" s="17">
        <v>1</v>
      </c>
    </row>
    <row r="11" spans="1:22">
      <c r="A11" s="32" t="s">
        <v>22</v>
      </c>
      <c r="B11" s="30" t="s">
        <v>23</v>
      </c>
      <c r="C11" s="30" t="s">
        <v>44</v>
      </c>
      <c r="D11" s="35" t="s">
        <v>42</v>
      </c>
      <c r="E11" s="11">
        <v>97</v>
      </c>
      <c r="F11" s="11">
        <v>87.3</v>
      </c>
      <c r="G11" s="11">
        <v>91.45</v>
      </c>
      <c r="H11" s="11">
        <v>94.2</v>
      </c>
      <c r="I11" s="7">
        <v>88.2</v>
      </c>
      <c r="J11" s="14">
        <f t="shared" si="0"/>
        <v>91.63</v>
      </c>
      <c r="K11" s="8">
        <v>160</v>
      </c>
      <c r="L11" s="8">
        <v>29</v>
      </c>
      <c r="M11" s="8">
        <v>90</v>
      </c>
      <c r="N11" s="14">
        <f>IF(ROUNDUP(IF(K11 &gt; 132, K11 / 40, K11 / 36), 0) &gt;= 7, 6, ROUNDUP(IF(K11 &gt; 132, K11 / 40, K11 / 36), 0))</f>
        <v>4</v>
      </c>
      <c r="O11" s="28">
        <f>L11*K11</f>
        <v>4640</v>
      </c>
      <c r="P11" s="28">
        <f>K11*M11</f>
        <v>14400</v>
      </c>
      <c r="Q11" s="14">
        <v>1</v>
      </c>
      <c r="R11" s="7">
        <v>2</v>
      </c>
      <c r="S11" s="7">
        <v>3</v>
      </c>
      <c r="T11" s="7">
        <v>1</v>
      </c>
      <c r="U11" s="30" t="s">
        <v>45</v>
      </c>
      <c r="V11" s="17">
        <v>1</v>
      </c>
    </row>
    <row r="12" spans="1:22">
      <c r="A12" s="32" t="s">
        <v>22</v>
      </c>
      <c r="B12" s="32" t="s">
        <v>23</v>
      </c>
      <c r="C12" s="30" t="s">
        <v>46</v>
      </c>
      <c r="D12" s="35" t="s">
        <v>42</v>
      </c>
      <c r="E12" s="11">
        <v>96.8</v>
      </c>
      <c r="F12" s="11">
        <v>88.4</v>
      </c>
      <c r="G12" s="11">
        <v>92.9</v>
      </c>
      <c r="H12" s="11">
        <v>95.25</v>
      </c>
      <c r="I12" s="7">
        <v>95.3</v>
      </c>
      <c r="J12" s="14">
        <f t="shared" si="0"/>
        <v>93.73</v>
      </c>
      <c r="K12" s="8">
        <v>160</v>
      </c>
      <c r="L12" s="8">
        <v>29</v>
      </c>
      <c r="M12" s="8">
        <v>90</v>
      </c>
      <c r="N12" s="14">
        <f>IF(ROUNDUP(IF(K12 &gt; 132, K12 / 40, K12 / 36), 0) &gt;= 7, 6, ROUNDUP(IF(K12 &gt; 132, K12 / 40, K12 / 36), 0))</f>
        <v>4</v>
      </c>
      <c r="O12" s="28">
        <f>L12*K12</f>
        <v>4640</v>
      </c>
      <c r="P12" s="28">
        <f>K12*M12</f>
        <v>14400</v>
      </c>
      <c r="Q12" s="14">
        <v>1</v>
      </c>
      <c r="R12" s="7">
        <v>2</v>
      </c>
      <c r="S12" s="7">
        <v>4</v>
      </c>
      <c r="T12" s="7">
        <v>1</v>
      </c>
      <c r="U12" s="30" t="s">
        <v>47</v>
      </c>
      <c r="V12" s="17">
        <v>1</v>
      </c>
    </row>
    <row r="13" spans="1:22">
      <c r="A13" s="32" t="s">
        <v>22</v>
      </c>
      <c r="B13" s="32" t="s">
        <v>23</v>
      </c>
      <c r="C13" s="30" t="s">
        <v>48</v>
      </c>
      <c r="D13" s="35" t="s">
        <v>42</v>
      </c>
      <c r="E13" s="11">
        <v>96.7</v>
      </c>
      <c r="F13" s="11">
        <v>87.7</v>
      </c>
      <c r="G13" s="11">
        <v>91.95</v>
      </c>
      <c r="H13" s="11">
        <v>95.75</v>
      </c>
      <c r="I13" s="7">
        <v>94.3</v>
      </c>
      <c r="J13" s="14">
        <f t="shared" si="0"/>
        <v>93.28</v>
      </c>
      <c r="K13" s="8">
        <v>160</v>
      </c>
      <c r="L13" s="8">
        <v>29</v>
      </c>
      <c r="M13" s="8">
        <v>90</v>
      </c>
      <c r="N13" s="14">
        <f>IF(ROUNDUP(IF(K13 &gt; 132, K13 / 40, K13 / 36), 0) &gt;= 7, 6, ROUNDUP(IF(K13 &gt; 132, K13 / 40, K13 / 36), 0))</f>
        <v>4</v>
      </c>
      <c r="O13" s="28">
        <f>L13*K13</f>
        <v>4640</v>
      </c>
      <c r="P13" s="28">
        <f>K13*M13</f>
        <v>14400</v>
      </c>
      <c r="Q13" s="14">
        <v>1</v>
      </c>
      <c r="R13" s="7">
        <v>2</v>
      </c>
      <c r="S13" s="7">
        <v>3</v>
      </c>
      <c r="T13" s="7">
        <v>0</v>
      </c>
      <c r="U13" s="30" t="s">
        <v>49</v>
      </c>
      <c r="V13" s="17">
        <v>1</v>
      </c>
    </row>
    <row r="14" spans="1:22">
      <c r="A14" s="32" t="s">
        <v>22</v>
      </c>
      <c r="B14" s="32" t="s">
        <v>23</v>
      </c>
      <c r="C14" s="30" t="s">
        <v>50</v>
      </c>
      <c r="D14" s="35" t="s">
        <v>42</v>
      </c>
      <c r="E14" s="11">
        <v>96.8</v>
      </c>
      <c r="F14" s="11">
        <v>90.45</v>
      </c>
      <c r="G14" s="11">
        <v>93.4</v>
      </c>
      <c r="H14" s="11">
        <v>95.1</v>
      </c>
      <c r="I14" s="7">
        <v>94.1</v>
      </c>
      <c r="J14" s="14">
        <f t="shared" si="0"/>
        <v>93.97</v>
      </c>
      <c r="K14" s="8">
        <v>160</v>
      </c>
      <c r="L14" s="8">
        <v>29</v>
      </c>
      <c r="M14" s="8">
        <v>85</v>
      </c>
      <c r="N14" s="14">
        <f>IF(ROUNDUP(IF(K14 &gt; 132, K14 / 40, K14 / 36), 0) &gt;= 7, 6, ROUNDUP(IF(K14 &gt; 132, K14 / 40, K14 / 36), 0))</f>
        <v>4</v>
      </c>
      <c r="O14" s="28">
        <f>L14*K14</f>
        <v>4640</v>
      </c>
      <c r="P14" s="28">
        <f>K14*M14</f>
        <v>13600</v>
      </c>
      <c r="Q14" s="14">
        <v>1</v>
      </c>
      <c r="R14" s="7">
        <v>2</v>
      </c>
      <c r="S14" s="7">
        <v>4</v>
      </c>
      <c r="T14" s="7">
        <v>0</v>
      </c>
      <c r="U14" s="30" t="s">
        <v>51</v>
      </c>
      <c r="V14" s="17">
        <v>1</v>
      </c>
    </row>
    <row r="15" spans="1:22">
      <c r="A15" s="32" t="s">
        <v>22</v>
      </c>
      <c r="B15" s="32" t="s">
        <v>23</v>
      </c>
      <c r="C15" s="30" t="s">
        <v>52</v>
      </c>
      <c r="D15" s="35" t="s">
        <v>42</v>
      </c>
      <c r="E15" s="11">
        <v>96.7</v>
      </c>
      <c r="F15" s="11">
        <v>93.5</v>
      </c>
      <c r="G15" s="11">
        <v>94.35</v>
      </c>
      <c r="H15" s="11">
        <v>98</v>
      </c>
      <c r="I15" s="7">
        <v>98</v>
      </c>
      <c r="J15" s="14">
        <f t="shared" si="0"/>
        <v>96.109999999999985</v>
      </c>
      <c r="K15" s="8">
        <v>132</v>
      </c>
      <c r="L15" s="8">
        <v>29</v>
      </c>
      <c r="M15" s="8">
        <v>90</v>
      </c>
      <c r="N15" s="14">
        <f>IF(ROUNDUP(IF(K15 &gt; 132, K15 / 40, K15 / 36), 0) &gt;= 7, 6, ROUNDUP(IF(K15 &gt; 132, K15 / 40, K15 / 36), 0))</f>
        <v>4</v>
      </c>
      <c r="O15" s="28">
        <f>L15*K15</f>
        <v>3828</v>
      </c>
      <c r="P15" s="28">
        <f>K15*M15</f>
        <v>11880</v>
      </c>
      <c r="Q15" s="14">
        <v>1</v>
      </c>
      <c r="R15" s="7">
        <v>2</v>
      </c>
      <c r="S15" s="7">
        <v>3</v>
      </c>
      <c r="T15" s="7">
        <v>2</v>
      </c>
      <c r="U15" s="30" t="s">
        <v>53</v>
      </c>
      <c r="V15" s="17">
        <v>1</v>
      </c>
    </row>
    <row r="16" spans="1:22">
      <c r="A16" s="32" t="s">
        <v>22</v>
      </c>
      <c r="B16" s="32" t="s">
        <v>23</v>
      </c>
      <c r="C16" s="30" t="s">
        <v>54</v>
      </c>
      <c r="D16" s="35" t="s">
        <v>42</v>
      </c>
      <c r="E16" s="11">
        <v>96.6</v>
      </c>
      <c r="F16" s="11">
        <v>90.8</v>
      </c>
      <c r="G16" s="11">
        <v>93.03</v>
      </c>
      <c r="H16" s="11">
        <v>95.5</v>
      </c>
      <c r="I16" s="7">
        <v>96.4</v>
      </c>
      <c r="J16" s="14">
        <f t="shared" si="0"/>
        <v>94.46599999999998</v>
      </c>
      <c r="K16" s="8">
        <v>132</v>
      </c>
      <c r="L16" s="8">
        <v>29</v>
      </c>
      <c r="M16" s="8">
        <v>85</v>
      </c>
      <c r="N16" s="14">
        <f>IF(ROUNDUP(IF(K16 &gt; 132, K16 / 40, K16 / 36), 0) &gt;= 7, 6, ROUNDUP(IF(K16 &gt; 132, K16 / 40, K16 / 36), 0))</f>
        <v>4</v>
      </c>
      <c r="O16" s="28">
        <f>L16*K16</f>
        <v>3828</v>
      </c>
      <c r="P16" s="28">
        <f>K16*M16</f>
        <v>11220</v>
      </c>
      <c r="Q16" s="14">
        <v>1</v>
      </c>
      <c r="R16" s="7">
        <v>3</v>
      </c>
      <c r="S16" s="7">
        <v>3</v>
      </c>
      <c r="T16" s="7">
        <v>0</v>
      </c>
      <c r="U16" s="30" t="s">
        <v>55</v>
      </c>
      <c r="V16" s="15">
        <v>1</v>
      </c>
    </row>
    <row r="17" spans="1:22">
      <c r="A17" s="32" t="s">
        <v>22</v>
      </c>
      <c r="B17" s="32" t="s">
        <v>23</v>
      </c>
      <c r="C17" s="30" t="s">
        <v>56</v>
      </c>
      <c r="D17" s="35" t="s">
        <v>42</v>
      </c>
      <c r="E17" s="11">
        <v>97.3</v>
      </c>
      <c r="F17" s="11">
        <v>91.65</v>
      </c>
      <c r="G17" s="11">
        <v>94.75</v>
      </c>
      <c r="H17" s="11">
        <v>96.5</v>
      </c>
      <c r="I17" s="7">
        <v>94.7</v>
      </c>
      <c r="J17" s="14">
        <f t="shared" si="0"/>
        <v>94.97999999999999</v>
      </c>
      <c r="K17" s="8">
        <v>132</v>
      </c>
      <c r="L17" s="8">
        <v>29</v>
      </c>
      <c r="M17" s="8">
        <v>95</v>
      </c>
      <c r="N17" s="14">
        <f>IF(ROUNDUP(IF(K17 &gt; 132, K17 / 40, K17 / 36), 0) &gt;= 7, 6, ROUNDUP(IF(K17 &gt; 132, K17 / 40, K17 / 36), 0))</f>
        <v>4</v>
      </c>
      <c r="O17" s="28">
        <f>L17*K17</f>
        <v>3828</v>
      </c>
      <c r="P17" s="28">
        <f>K17*M17</f>
        <v>12540</v>
      </c>
      <c r="Q17" s="14">
        <v>1</v>
      </c>
      <c r="R17" s="7">
        <v>2</v>
      </c>
      <c r="S17" s="7">
        <v>3</v>
      </c>
      <c r="T17" s="7">
        <v>1</v>
      </c>
      <c r="U17" s="30" t="s">
        <v>57</v>
      </c>
      <c r="V17" s="17">
        <v>1</v>
      </c>
    </row>
    <row r="18" spans="1:22">
      <c r="A18" s="32" t="s">
        <v>22</v>
      </c>
      <c r="B18" s="32" t="s">
        <v>23</v>
      </c>
      <c r="C18" s="30" t="s">
        <v>58</v>
      </c>
      <c r="D18" s="30" t="s">
        <v>59</v>
      </c>
      <c r="E18" s="11">
        <v>93.2</v>
      </c>
      <c r="F18" s="11">
        <v>84.3</v>
      </c>
      <c r="G18" s="11">
        <v>87.75</v>
      </c>
      <c r="H18" s="11">
        <v>91.1</v>
      </c>
      <c r="I18" s="7">
        <v>85.3</v>
      </c>
      <c r="J18" s="14">
        <f t="shared" si="0"/>
        <v>88.330000000000013</v>
      </c>
      <c r="K18" s="8">
        <v>132</v>
      </c>
      <c r="L18" s="8">
        <v>26</v>
      </c>
      <c r="M18" s="8">
        <v>60</v>
      </c>
      <c r="N18" s="14">
        <f>IF(ROUNDUP(IF(K18 &gt; 132, K18 / 40, K18 / 36), 0) &gt;= 7, 6, ROUNDUP(IF(K18 &gt; 132, K18 / 40, K18 / 36), 0))</f>
        <v>4</v>
      </c>
      <c r="O18" s="28">
        <f>L18*K18</f>
        <v>3432</v>
      </c>
      <c r="P18" s="28">
        <f>K18*M18</f>
        <v>7920</v>
      </c>
      <c r="Q18" s="7">
        <v>0</v>
      </c>
      <c r="R18" s="7">
        <v>1</v>
      </c>
      <c r="S18" s="7">
        <v>3</v>
      </c>
      <c r="T18" s="7">
        <v>0</v>
      </c>
      <c r="U18" s="30" t="s">
        <v>60</v>
      </c>
      <c r="V18" s="17">
        <v>1</v>
      </c>
    </row>
    <row r="19" spans="1:22">
      <c r="A19" s="32" t="s">
        <v>22</v>
      </c>
      <c r="B19" s="32" t="s">
        <v>23</v>
      </c>
      <c r="C19" s="30" t="s">
        <v>61</v>
      </c>
      <c r="D19" s="30" t="s">
        <v>59</v>
      </c>
      <c r="E19" s="11">
        <v>93.7</v>
      </c>
      <c r="F19" s="11">
        <v>87.15</v>
      </c>
      <c r="G19" s="11">
        <v>88.45</v>
      </c>
      <c r="H19" s="11">
        <v>91.4</v>
      </c>
      <c r="I19" s="7">
        <v>87.6</v>
      </c>
      <c r="J19" s="14">
        <f t="shared" si="0"/>
        <v>89.660000000000011</v>
      </c>
      <c r="K19" s="8">
        <v>132</v>
      </c>
      <c r="L19" s="8">
        <v>26</v>
      </c>
      <c r="M19" s="8">
        <v>60</v>
      </c>
      <c r="N19" s="14">
        <f>IF(ROUNDUP(IF(K19 &gt; 132, K19 / 40, K19 / 36), 0) &gt;= 7, 6, ROUNDUP(IF(K19 &gt; 132, K19 / 40, K19 / 36), 0))</f>
        <v>4</v>
      </c>
      <c r="O19" s="28">
        <f>L19*K19</f>
        <v>3432</v>
      </c>
      <c r="P19" s="28">
        <f>K19*M19</f>
        <v>7920</v>
      </c>
      <c r="Q19" s="17">
        <v>0</v>
      </c>
      <c r="R19" s="7">
        <v>1</v>
      </c>
      <c r="S19" s="7">
        <v>3</v>
      </c>
      <c r="T19" s="7">
        <v>1</v>
      </c>
      <c r="U19" s="30" t="s">
        <v>62</v>
      </c>
      <c r="V19" s="17">
        <v>1</v>
      </c>
    </row>
    <row r="20" spans="1:22">
      <c r="A20" s="32" t="s">
        <v>22</v>
      </c>
      <c r="B20" s="32" t="s">
        <v>23</v>
      </c>
      <c r="C20" s="30" t="s">
        <v>63</v>
      </c>
      <c r="D20" s="30" t="s">
        <v>59</v>
      </c>
      <c r="E20" s="11">
        <v>92.4</v>
      </c>
      <c r="F20" s="11">
        <v>83.05</v>
      </c>
      <c r="G20" s="11">
        <v>85.95</v>
      </c>
      <c r="H20" s="11">
        <v>89.55</v>
      </c>
      <c r="I20" s="7">
        <v>81.8</v>
      </c>
      <c r="J20" s="14">
        <f t="shared" si="0"/>
        <v>86.55</v>
      </c>
      <c r="K20" s="8">
        <v>132</v>
      </c>
      <c r="L20" s="8">
        <v>26</v>
      </c>
      <c r="M20" s="8">
        <v>60</v>
      </c>
      <c r="N20" s="14">
        <f>IF(ROUNDUP(IF(K20 &gt; 132, K20 / 40, K20 / 36), 0) &gt;= 7, 6, ROUNDUP(IF(K20 &gt; 132, K20 / 40, K20 / 36), 0))</f>
        <v>4</v>
      </c>
      <c r="O20" s="28">
        <f>L20*K20</f>
        <v>3432</v>
      </c>
      <c r="P20" s="28">
        <f>K20*M20</f>
        <v>7920</v>
      </c>
      <c r="Q20" s="17">
        <v>0</v>
      </c>
      <c r="R20" s="7">
        <v>1</v>
      </c>
      <c r="S20" s="7">
        <v>4</v>
      </c>
      <c r="T20" s="7">
        <v>1</v>
      </c>
      <c r="U20" s="30" t="s">
        <v>64</v>
      </c>
      <c r="V20" s="17">
        <v>1</v>
      </c>
    </row>
    <row r="21" spans="1:22">
      <c r="A21" s="32" t="s">
        <v>22</v>
      </c>
      <c r="B21" s="32" t="s">
        <v>23</v>
      </c>
      <c r="C21" s="30" t="s">
        <v>65</v>
      </c>
      <c r="D21" s="30" t="s">
        <v>59</v>
      </c>
      <c r="E21" s="11">
        <v>85.5</v>
      </c>
      <c r="F21" s="11">
        <v>73.75</v>
      </c>
      <c r="G21" s="11">
        <v>79.349999999999994</v>
      </c>
      <c r="H21" s="11">
        <v>83.85</v>
      </c>
      <c r="I21" s="7">
        <v>72</v>
      </c>
      <c r="J21" s="14">
        <f t="shared" si="0"/>
        <v>78.89</v>
      </c>
      <c r="K21" s="8">
        <v>132</v>
      </c>
      <c r="L21" s="8">
        <v>26</v>
      </c>
      <c r="M21" s="8">
        <v>60</v>
      </c>
      <c r="N21" s="14">
        <f>IF(ROUNDUP(IF(K21 &gt; 132, K21 / 40, K21 / 36), 0) &gt;= 7, 6, ROUNDUP(IF(K21 &gt; 132, K21 / 40, K21 / 36), 0))</f>
        <v>4</v>
      </c>
      <c r="O21" s="28">
        <f>L21*K21</f>
        <v>3432</v>
      </c>
      <c r="P21" s="28">
        <f>K21*M21</f>
        <v>7920</v>
      </c>
      <c r="Q21" s="7">
        <v>0</v>
      </c>
      <c r="R21" s="7">
        <v>2</v>
      </c>
      <c r="S21" s="7">
        <v>3</v>
      </c>
      <c r="T21" s="7">
        <v>0</v>
      </c>
      <c r="U21" s="30" t="s">
        <v>66</v>
      </c>
      <c r="V21" s="17">
        <v>1</v>
      </c>
    </row>
    <row r="22" spans="1:22">
      <c r="A22" s="32" t="s">
        <v>22</v>
      </c>
      <c r="B22" s="32" t="s">
        <v>23</v>
      </c>
      <c r="C22" s="30" t="s">
        <v>67</v>
      </c>
      <c r="D22" s="30" t="s">
        <v>59</v>
      </c>
      <c r="E22" s="11">
        <v>95.6</v>
      </c>
      <c r="F22" s="11">
        <v>83.3</v>
      </c>
      <c r="G22" s="11">
        <v>89.8</v>
      </c>
      <c r="H22" s="11">
        <v>92.75</v>
      </c>
      <c r="I22" s="7">
        <v>85.2</v>
      </c>
      <c r="J22" s="14">
        <f t="shared" si="0"/>
        <v>89.33</v>
      </c>
      <c r="K22" s="8">
        <v>132</v>
      </c>
      <c r="L22" s="8">
        <v>26</v>
      </c>
      <c r="M22" s="8">
        <v>60</v>
      </c>
      <c r="N22" s="14">
        <f>IF(ROUNDUP(IF(K22 &gt; 132, K22 / 40, K22 / 36), 0) &gt;= 7, 6, ROUNDUP(IF(K22 &gt; 132, K22 / 40, K22 / 36), 0))</f>
        <v>4</v>
      </c>
      <c r="O22" s="28">
        <f>L22*K22</f>
        <v>3432</v>
      </c>
      <c r="P22" s="28">
        <f>K22*M22</f>
        <v>7920</v>
      </c>
      <c r="Q22" s="17">
        <v>0</v>
      </c>
      <c r="R22" s="7">
        <v>0</v>
      </c>
      <c r="S22" s="7">
        <v>4</v>
      </c>
      <c r="T22" s="7">
        <v>1</v>
      </c>
      <c r="U22" s="30" t="s">
        <v>68</v>
      </c>
      <c r="V22" s="17">
        <v>1</v>
      </c>
    </row>
    <row r="23" spans="1:22">
      <c r="A23" s="32" t="s">
        <v>22</v>
      </c>
      <c r="B23" s="32" t="s">
        <v>23</v>
      </c>
      <c r="C23" s="30" t="s">
        <v>69</v>
      </c>
      <c r="D23" s="30" t="s">
        <v>59</v>
      </c>
      <c r="E23" s="11">
        <v>96.1</v>
      </c>
      <c r="F23" s="11">
        <v>89.75</v>
      </c>
      <c r="G23" s="11">
        <v>95.15</v>
      </c>
      <c r="H23" s="11">
        <v>96.8</v>
      </c>
      <c r="I23" s="7">
        <v>97.1</v>
      </c>
      <c r="J23" s="14">
        <f t="shared" si="0"/>
        <v>94.97999999999999</v>
      </c>
      <c r="K23" s="8">
        <v>132</v>
      </c>
      <c r="L23" s="8">
        <v>47</v>
      </c>
      <c r="M23" s="8">
        <v>90</v>
      </c>
      <c r="N23" s="14">
        <f>IF(ROUNDUP(IF(K23 &gt; 132, K23 / 40, K23 / 36), 0) &gt;= 7, 6, ROUNDUP(IF(K23 &gt; 132, K23 / 40, K23 / 36), 0))</f>
        <v>4</v>
      </c>
      <c r="O23" s="28">
        <f>L23*K23</f>
        <v>6204</v>
      </c>
      <c r="P23" s="28">
        <f>K23*M23</f>
        <v>11880</v>
      </c>
      <c r="Q23" s="14">
        <v>1</v>
      </c>
      <c r="R23" s="7">
        <v>2</v>
      </c>
      <c r="S23" s="7">
        <v>3</v>
      </c>
      <c r="T23" s="7">
        <v>2</v>
      </c>
      <c r="U23" s="30" t="s">
        <v>70</v>
      </c>
      <c r="V23" s="15">
        <v>1</v>
      </c>
    </row>
    <row r="24" spans="1:22">
      <c r="A24" s="32" t="s">
        <v>22</v>
      </c>
      <c r="B24" s="32" t="s">
        <v>23</v>
      </c>
      <c r="C24" s="30" t="s">
        <v>71</v>
      </c>
      <c r="D24" s="30" t="s">
        <v>59</v>
      </c>
      <c r="E24" s="11">
        <v>95.5</v>
      </c>
      <c r="F24" s="11">
        <v>87.55</v>
      </c>
      <c r="G24" s="11">
        <v>91.35</v>
      </c>
      <c r="H24" s="11">
        <v>95.95</v>
      </c>
      <c r="I24" s="7">
        <v>84.1</v>
      </c>
      <c r="J24" s="14">
        <f t="shared" si="0"/>
        <v>90.889999999999986</v>
      </c>
      <c r="K24" s="8">
        <v>132</v>
      </c>
      <c r="L24" s="8">
        <v>70</v>
      </c>
      <c r="M24" s="8">
        <v>100</v>
      </c>
      <c r="N24" s="14">
        <f>IF(ROUNDUP(IF(K24 &gt; 132, K24 / 40, K24 / 36), 0) &gt;= 7, 6, ROUNDUP(IF(K24 &gt; 132, K24 / 40, K24 / 36), 0))</f>
        <v>4</v>
      </c>
      <c r="O24" s="28">
        <f>L24*K24</f>
        <v>9240</v>
      </c>
      <c r="P24" s="28">
        <f>K24*M24</f>
        <v>13200</v>
      </c>
      <c r="Q24" s="14">
        <v>1</v>
      </c>
      <c r="R24" s="7">
        <v>3</v>
      </c>
      <c r="S24" s="7">
        <v>3</v>
      </c>
      <c r="T24" s="7">
        <v>2</v>
      </c>
      <c r="U24" s="30" t="s">
        <v>72</v>
      </c>
      <c r="V24" s="17">
        <v>1</v>
      </c>
    </row>
    <row r="25" spans="1:22">
      <c r="A25" s="32" t="s">
        <v>22</v>
      </c>
      <c r="B25" s="32" t="s">
        <v>23</v>
      </c>
      <c r="C25" s="30" t="s">
        <v>73</v>
      </c>
      <c r="D25" s="30" t="s">
        <v>59</v>
      </c>
      <c r="E25" s="7">
        <v>90</v>
      </c>
      <c r="F25" s="12">
        <v>90</v>
      </c>
      <c r="G25" s="11">
        <v>93.5</v>
      </c>
      <c r="H25" s="11">
        <v>96.3</v>
      </c>
      <c r="I25" s="7">
        <v>92.8</v>
      </c>
      <c r="J25" s="14">
        <f t="shared" si="0"/>
        <v>92.52000000000001</v>
      </c>
      <c r="K25" s="8">
        <v>132</v>
      </c>
      <c r="L25" s="8">
        <v>70</v>
      </c>
      <c r="M25" s="8">
        <v>100</v>
      </c>
      <c r="N25" s="14">
        <f>IF(ROUNDUP(IF(K25 &gt; 132, K25 / 40, K25 / 36), 0) &gt;= 7, 6, ROUNDUP(IF(K25 &gt; 132, K25 / 40, K25 / 36), 0))</f>
        <v>4</v>
      </c>
      <c r="O25" s="28">
        <f>L25*K25</f>
        <v>9240</v>
      </c>
      <c r="P25" s="28">
        <f>K25*M25</f>
        <v>13200</v>
      </c>
      <c r="Q25" s="14">
        <v>1</v>
      </c>
      <c r="R25" s="7">
        <v>3</v>
      </c>
      <c r="S25" s="7">
        <v>3</v>
      </c>
      <c r="T25" s="7">
        <v>2</v>
      </c>
      <c r="U25" s="30" t="s">
        <v>74</v>
      </c>
      <c r="V25" s="17">
        <v>1</v>
      </c>
    </row>
    <row r="26" spans="1:22">
      <c r="A26" s="32" t="s">
        <v>22</v>
      </c>
      <c r="B26" s="32" t="s">
        <v>23</v>
      </c>
      <c r="C26" s="30" t="s">
        <v>75</v>
      </c>
      <c r="D26" s="30" t="s">
        <v>59</v>
      </c>
      <c r="E26" s="13">
        <v>89</v>
      </c>
      <c r="F26" s="11">
        <v>89.77</v>
      </c>
      <c r="G26" s="11">
        <v>93.7</v>
      </c>
      <c r="H26" s="11">
        <v>95.75</v>
      </c>
      <c r="I26" s="7">
        <v>90.4</v>
      </c>
      <c r="J26" s="14">
        <f t="shared" si="0"/>
        <v>91.724000000000004</v>
      </c>
      <c r="K26" s="8">
        <v>132</v>
      </c>
      <c r="L26" s="8">
        <v>60</v>
      </c>
      <c r="M26" s="8">
        <v>100</v>
      </c>
      <c r="N26" s="14">
        <f>IF(ROUNDUP(IF(K26 &gt; 132, K26 / 40, K26 / 36), 0) &gt;= 7, 6, ROUNDUP(IF(K26 &gt; 132, K26 / 40, K26 / 36), 0))</f>
        <v>4</v>
      </c>
      <c r="O26" s="28">
        <f>L26*K26</f>
        <v>7920</v>
      </c>
      <c r="P26" s="28">
        <f>K26*M26</f>
        <v>13200</v>
      </c>
      <c r="Q26" s="14">
        <v>1</v>
      </c>
      <c r="R26" s="7">
        <v>3</v>
      </c>
      <c r="S26" s="7">
        <v>3</v>
      </c>
      <c r="T26" s="7">
        <v>2</v>
      </c>
      <c r="U26" s="30" t="s">
        <v>76</v>
      </c>
      <c r="V26" s="17">
        <v>1</v>
      </c>
    </row>
    <row r="27" spans="1:22">
      <c r="A27" s="32" t="s">
        <v>22</v>
      </c>
      <c r="B27" s="32" t="s">
        <v>23</v>
      </c>
      <c r="C27" s="30" t="s">
        <v>77</v>
      </c>
      <c r="D27" s="30" t="s">
        <v>59</v>
      </c>
      <c r="E27" s="7">
        <v>95.5</v>
      </c>
      <c r="F27" s="7">
        <v>89.75</v>
      </c>
      <c r="G27" s="7">
        <v>95.15</v>
      </c>
      <c r="H27" s="7">
        <v>96.8</v>
      </c>
      <c r="I27" s="7">
        <v>94</v>
      </c>
      <c r="J27" s="14">
        <f t="shared" si="0"/>
        <v>94.24</v>
      </c>
      <c r="K27" s="8">
        <v>132</v>
      </c>
      <c r="L27" s="8">
        <v>29</v>
      </c>
      <c r="M27" s="8">
        <v>60</v>
      </c>
      <c r="N27" s="14">
        <f>IF(ROUNDUP(IF(K27 &gt; 132, K27 / 40, K27 / 36), 0) &gt;= 7, 6, ROUNDUP(IF(K27 &gt; 132, K27 / 40, K27 / 36), 0))</f>
        <v>4</v>
      </c>
      <c r="O27" s="28">
        <f>L27*K27</f>
        <v>3828</v>
      </c>
      <c r="P27" s="28">
        <f>K27*M27</f>
        <v>7920</v>
      </c>
      <c r="Q27" s="14">
        <v>1</v>
      </c>
      <c r="R27" s="7">
        <v>3</v>
      </c>
      <c r="S27" s="7">
        <v>2</v>
      </c>
      <c r="T27" s="7">
        <v>2</v>
      </c>
      <c r="U27" s="30" t="s">
        <v>78</v>
      </c>
      <c r="V27" s="17">
        <v>1</v>
      </c>
    </row>
    <row r="28" spans="1:22">
      <c r="A28" s="32" t="s">
        <v>22</v>
      </c>
      <c r="B28" s="32" t="s">
        <v>23</v>
      </c>
      <c r="C28" s="30" t="s">
        <v>79</v>
      </c>
      <c r="D28" s="30" t="s">
        <v>59</v>
      </c>
      <c r="E28" s="7">
        <v>96.1</v>
      </c>
      <c r="F28" s="7">
        <v>89.75</v>
      </c>
      <c r="G28" s="7">
        <v>95.15</v>
      </c>
      <c r="H28" s="7">
        <v>96.8</v>
      </c>
      <c r="I28" s="7">
        <v>94.7</v>
      </c>
      <c r="J28" s="14">
        <f t="shared" si="0"/>
        <v>94.5</v>
      </c>
      <c r="K28" s="8">
        <v>132</v>
      </c>
      <c r="L28" s="8">
        <v>47</v>
      </c>
      <c r="M28" s="8">
        <v>90</v>
      </c>
      <c r="N28" s="14">
        <f>IF(ROUNDUP(IF(K28 &gt; 132, K28 / 40, K28 / 36), 0) &gt;= 7, 6, ROUNDUP(IF(K28 &gt; 132, K28 / 40, K28 / 36), 0))</f>
        <v>4</v>
      </c>
      <c r="O28" s="28">
        <f>L28*K28</f>
        <v>6204</v>
      </c>
      <c r="P28" s="28">
        <f>K28*M28</f>
        <v>11880</v>
      </c>
      <c r="Q28" s="14">
        <v>1</v>
      </c>
      <c r="R28" s="7">
        <v>2</v>
      </c>
      <c r="S28" s="7">
        <v>2</v>
      </c>
      <c r="T28" s="7">
        <v>1</v>
      </c>
      <c r="U28" s="30" t="s">
        <v>80</v>
      </c>
      <c r="V28" s="17">
        <v>1</v>
      </c>
    </row>
    <row r="29" spans="1:22">
      <c r="A29" s="32" t="s">
        <v>22</v>
      </c>
      <c r="B29" s="32" t="s">
        <v>23</v>
      </c>
      <c r="C29" s="30" t="s">
        <v>81</v>
      </c>
      <c r="D29" s="30" t="s">
        <v>59</v>
      </c>
      <c r="E29" s="11">
        <v>87</v>
      </c>
      <c r="F29" s="11">
        <v>77.3</v>
      </c>
      <c r="G29" s="11">
        <v>79.349999999999994</v>
      </c>
      <c r="H29" s="11">
        <v>85.85</v>
      </c>
      <c r="I29" s="7">
        <v>79.900000000000006</v>
      </c>
      <c r="J29" s="14">
        <f t="shared" si="0"/>
        <v>81.88</v>
      </c>
      <c r="K29" s="8">
        <v>132</v>
      </c>
      <c r="L29" s="8">
        <v>26</v>
      </c>
      <c r="M29" s="8">
        <v>65</v>
      </c>
      <c r="N29" s="14">
        <f>IF(ROUNDUP(IF(K29 &gt; 132, K29 / 40, K29 / 36), 0) &gt;= 7, 6, ROUNDUP(IF(K29 &gt; 132, K29 / 40, K29 / 36), 0))</f>
        <v>4</v>
      </c>
      <c r="O29" s="28">
        <f>L29*K29</f>
        <v>3432</v>
      </c>
      <c r="P29" s="28">
        <f>K29*M29</f>
        <v>8580</v>
      </c>
      <c r="Q29" s="14">
        <v>1</v>
      </c>
      <c r="R29" s="7">
        <v>2</v>
      </c>
      <c r="S29" s="7">
        <v>2</v>
      </c>
      <c r="T29" s="7">
        <v>1</v>
      </c>
      <c r="U29" s="30" t="s">
        <v>82</v>
      </c>
      <c r="V29" s="15">
        <v>1</v>
      </c>
    </row>
    <row r="30" spans="1:22">
      <c r="A30" s="32" t="s">
        <v>22</v>
      </c>
      <c r="B30" s="32" t="s">
        <v>23</v>
      </c>
      <c r="C30" s="30" t="s">
        <v>83</v>
      </c>
      <c r="D30" s="30" t="s">
        <v>59</v>
      </c>
      <c r="E30" s="11">
        <v>93.5</v>
      </c>
      <c r="F30" s="11">
        <v>91.05</v>
      </c>
      <c r="G30" s="11">
        <v>91.2</v>
      </c>
      <c r="H30" s="11">
        <v>93.1</v>
      </c>
      <c r="I30" s="7">
        <v>95.6</v>
      </c>
      <c r="J30" s="14">
        <f t="shared" si="0"/>
        <v>92.890000000000015</v>
      </c>
      <c r="K30" s="8">
        <v>132</v>
      </c>
      <c r="L30" s="8">
        <v>35</v>
      </c>
      <c r="M30" s="8">
        <v>85</v>
      </c>
      <c r="N30" s="14">
        <f>IF(ROUNDUP(IF(K30 &gt; 132, K30 / 40, K30 / 36), 0) &gt;= 7, 6, ROUNDUP(IF(K30 &gt; 132, K30 / 40, K30 / 36), 0))</f>
        <v>4</v>
      </c>
      <c r="O30" s="28">
        <f>L30*K30</f>
        <v>4620</v>
      </c>
      <c r="P30" s="28">
        <f>K30*M30</f>
        <v>11220</v>
      </c>
      <c r="Q30" s="14">
        <v>1</v>
      </c>
      <c r="R30" s="7">
        <v>3</v>
      </c>
      <c r="S30" s="7">
        <v>2</v>
      </c>
      <c r="T30" s="7">
        <v>0</v>
      </c>
      <c r="U30" s="30" t="s">
        <v>84</v>
      </c>
      <c r="V30" s="17">
        <v>1</v>
      </c>
    </row>
    <row r="31" spans="1:22">
      <c r="A31" s="32" t="s">
        <v>22</v>
      </c>
      <c r="B31" s="32" t="s">
        <v>23</v>
      </c>
      <c r="C31" s="30" t="s">
        <v>85</v>
      </c>
      <c r="D31" s="30" t="s">
        <v>59</v>
      </c>
      <c r="E31" s="11">
        <v>96.6</v>
      </c>
      <c r="F31" s="11">
        <v>93.2</v>
      </c>
      <c r="G31" s="11">
        <v>95.05</v>
      </c>
      <c r="H31" s="11">
        <v>94.95</v>
      </c>
      <c r="I31" s="7">
        <v>96.4</v>
      </c>
      <c r="J31" s="14">
        <f t="shared" si="0"/>
        <v>95.240000000000009</v>
      </c>
      <c r="K31" s="8">
        <v>132</v>
      </c>
      <c r="L31" s="8">
        <v>35</v>
      </c>
      <c r="M31" s="8">
        <v>85</v>
      </c>
      <c r="N31" s="14">
        <f>IF(ROUNDUP(IF(K31 &gt; 132, K31 / 40, K31 / 36), 0) &gt;= 7, 6, ROUNDUP(IF(K31 &gt; 132, K31 / 40, K31 / 36), 0))</f>
        <v>4</v>
      </c>
      <c r="O31" s="28">
        <f>L31*K31</f>
        <v>4620</v>
      </c>
      <c r="P31" s="28">
        <f>K31*M31</f>
        <v>11220</v>
      </c>
      <c r="Q31" s="14">
        <v>1</v>
      </c>
      <c r="R31" s="7">
        <v>3</v>
      </c>
      <c r="S31" s="7">
        <v>2</v>
      </c>
      <c r="T31" s="7">
        <v>0</v>
      </c>
      <c r="U31" s="30" t="s">
        <v>86</v>
      </c>
      <c r="V31" s="17">
        <v>1</v>
      </c>
    </row>
    <row r="32" spans="1:22">
      <c r="A32" s="32" t="s">
        <v>22</v>
      </c>
      <c r="B32" s="32" t="s">
        <v>23</v>
      </c>
      <c r="C32" s="30" t="s">
        <v>87</v>
      </c>
      <c r="D32" s="1" t="s">
        <v>88</v>
      </c>
      <c r="E32" s="11">
        <v>97.3</v>
      </c>
      <c r="F32" s="11">
        <v>93</v>
      </c>
      <c r="G32" s="11">
        <v>91.35</v>
      </c>
      <c r="H32" s="11">
        <v>95.7</v>
      </c>
      <c r="I32" s="7">
        <v>91.5</v>
      </c>
      <c r="J32" s="14">
        <f t="shared" si="0"/>
        <v>93.77</v>
      </c>
      <c r="K32" s="8">
        <v>132</v>
      </c>
      <c r="L32" s="8">
        <v>16</v>
      </c>
      <c r="M32" s="8">
        <v>45</v>
      </c>
      <c r="N32" s="14">
        <f>IF(ROUNDUP(IF(K32 &gt; 132, K32 / 40, K32 / 36), 0) &gt;= 7, 6, ROUNDUP(IF(K32 &gt; 132, K32 / 40, K32 / 36), 0))</f>
        <v>4</v>
      </c>
      <c r="O32" s="28">
        <f>L32*K32</f>
        <v>2112</v>
      </c>
      <c r="P32" s="28">
        <f>K32*M32</f>
        <v>5940</v>
      </c>
      <c r="Q32" s="17">
        <v>0</v>
      </c>
      <c r="R32" s="7">
        <v>0</v>
      </c>
      <c r="S32" s="7">
        <v>2</v>
      </c>
      <c r="T32" s="7">
        <v>1</v>
      </c>
      <c r="U32" s="30" t="s">
        <v>89</v>
      </c>
      <c r="V32" s="17">
        <v>1</v>
      </c>
    </row>
    <row r="33" spans="1:22">
      <c r="A33" s="32" t="s">
        <v>22</v>
      </c>
      <c r="B33" s="32" t="s">
        <v>23</v>
      </c>
      <c r="C33" s="30" t="s">
        <v>90</v>
      </c>
      <c r="D33" s="2" t="s">
        <v>88</v>
      </c>
      <c r="E33" s="11">
        <v>98.4</v>
      </c>
      <c r="F33" s="11">
        <v>94.15</v>
      </c>
      <c r="G33" s="11">
        <v>96.6</v>
      </c>
      <c r="H33" s="11">
        <v>98.45</v>
      </c>
      <c r="I33" s="7">
        <v>95.2</v>
      </c>
      <c r="J33" s="14">
        <f t="shared" si="0"/>
        <v>96.559999999999988</v>
      </c>
      <c r="K33" s="8">
        <v>132</v>
      </c>
      <c r="L33" s="8">
        <v>16</v>
      </c>
      <c r="M33" s="8">
        <v>70</v>
      </c>
      <c r="N33" s="14">
        <f>IF(ROUNDUP(IF(K33 &gt; 132, K33 / 40, K33 / 36), 0) &gt;= 7, 6, ROUNDUP(IF(K33 &gt; 132, K33 / 40, K33 / 36), 0))</f>
        <v>4</v>
      </c>
      <c r="O33" s="28">
        <f>L33*K33</f>
        <v>2112</v>
      </c>
      <c r="P33" s="28">
        <f>K33*M33</f>
        <v>9240</v>
      </c>
      <c r="Q33" s="17">
        <v>0</v>
      </c>
      <c r="R33" s="7">
        <v>0</v>
      </c>
      <c r="S33" s="7">
        <v>2</v>
      </c>
      <c r="T33" s="7">
        <v>0</v>
      </c>
      <c r="U33" s="30" t="s">
        <v>91</v>
      </c>
      <c r="V33" s="17">
        <v>1</v>
      </c>
    </row>
    <row r="34" spans="1:22">
      <c r="A34" s="32" t="s">
        <v>22</v>
      </c>
      <c r="B34" s="32" t="s">
        <v>23</v>
      </c>
      <c r="C34" s="30" t="s">
        <v>92</v>
      </c>
      <c r="D34" s="2" t="s">
        <v>88</v>
      </c>
      <c r="E34" s="11">
        <v>94.7</v>
      </c>
      <c r="F34" s="11">
        <v>86.95</v>
      </c>
      <c r="G34" s="11">
        <v>90.1</v>
      </c>
      <c r="H34" s="11">
        <v>93.1</v>
      </c>
      <c r="I34" s="7">
        <v>97.4</v>
      </c>
      <c r="J34" s="14">
        <f t="shared" si="0"/>
        <v>92.45</v>
      </c>
      <c r="K34" s="8">
        <v>132</v>
      </c>
      <c r="L34" s="8">
        <v>16</v>
      </c>
      <c r="M34" s="8">
        <v>65</v>
      </c>
      <c r="N34" s="14">
        <f>IF(ROUNDUP(IF(K34 &gt; 132, K34 / 40, K34 / 36), 0) &gt;= 7, 6, ROUNDUP(IF(K34 &gt; 132, K34 / 40, K34 / 36), 0))</f>
        <v>4</v>
      </c>
      <c r="O34" s="28">
        <f>L34*K34</f>
        <v>2112</v>
      </c>
      <c r="P34" s="28">
        <f>K34*M34</f>
        <v>8580</v>
      </c>
      <c r="Q34" s="7">
        <v>0</v>
      </c>
      <c r="R34" s="7">
        <v>0</v>
      </c>
      <c r="S34" s="7">
        <v>2</v>
      </c>
      <c r="T34" s="7">
        <v>1</v>
      </c>
      <c r="U34" s="30" t="s">
        <v>93</v>
      </c>
      <c r="V34" s="17">
        <v>1</v>
      </c>
    </row>
    <row r="35" spans="1:22">
      <c r="A35" s="32" t="s">
        <v>22</v>
      </c>
      <c r="B35" s="32" t="s">
        <v>23</v>
      </c>
      <c r="C35" s="30" t="s">
        <v>94</v>
      </c>
      <c r="D35" s="2" t="s">
        <v>88</v>
      </c>
      <c r="E35" s="9">
        <v>99.2</v>
      </c>
      <c r="F35" s="13">
        <v>96.4</v>
      </c>
      <c r="G35" s="13">
        <v>98.1</v>
      </c>
      <c r="H35" s="13">
        <v>98.95</v>
      </c>
      <c r="I35" s="7">
        <v>89.1</v>
      </c>
      <c r="J35" s="14">
        <f t="shared" si="0"/>
        <v>96.35</v>
      </c>
      <c r="K35" s="8">
        <v>132</v>
      </c>
      <c r="L35" s="8">
        <v>20</v>
      </c>
      <c r="M35" s="8">
        <v>70</v>
      </c>
      <c r="N35" s="14">
        <f>IF(ROUNDUP(IF(K35 &gt; 132, K35 / 40, K35 / 36), 0) &gt;= 7, 6, ROUNDUP(IF(K35 &gt; 132, K35 / 40, K35 / 36), 0))</f>
        <v>4</v>
      </c>
      <c r="O35" s="28">
        <f>L35*K35</f>
        <v>2640</v>
      </c>
      <c r="P35" s="28">
        <f>K35*M35</f>
        <v>9240</v>
      </c>
      <c r="Q35" s="17">
        <v>0</v>
      </c>
      <c r="R35" s="7">
        <v>2</v>
      </c>
      <c r="S35" s="7">
        <v>2</v>
      </c>
      <c r="T35" s="7">
        <v>0</v>
      </c>
      <c r="U35" s="30" t="s">
        <v>95</v>
      </c>
      <c r="V35" s="17">
        <v>1</v>
      </c>
    </row>
    <row r="36" spans="1:22">
      <c r="A36" s="32" t="s">
        <v>22</v>
      </c>
      <c r="B36" s="32" t="s">
        <v>23</v>
      </c>
      <c r="C36" s="1" t="s">
        <v>96</v>
      </c>
      <c r="D36" s="2" t="s">
        <v>88</v>
      </c>
      <c r="E36" s="9">
        <v>95.2</v>
      </c>
      <c r="F36" s="13">
        <v>89.4</v>
      </c>
      <c r="G36" s="13">
        <v>90.1</v>
      </c>
      <c r="H36" s="13">
        <v>92.95</v>
      </c>
      <c r="I36" s="7">
        <v>93.9</v>
      </c>
      <c r="J36" s="14">
        <f t="shared" si="0"/>
        <v>92.310000000000016</v>
      </c>
      <c r="K36" s="8">
        <v>132</v>
      </c>
      <c r="L36" s="8">
        <v>16</v>
      </c>
      <c r="M36" s="8">
        <v>45</v>
      </c>
      <c r="N36" s="14">
        <f>IF(ROUNDUP(IF(K36 &gt; 132, K36 / 40, K36 / 36), 0) &gt;= 7, 6, ROUNDUP(IF(K36 &gt; 132, K36 / 40, K36 / 36), 0))</f>
        <v>4</v>
      </c>
      <c r="O36" s="28">
        <f>L36*K36</f>
        <v>2112</v>
      </c>
      <c r="P36" s="28">
        <f>K36*M36</f>
        <v>5940</v>
      </c>
      <c r="Q36" s="7">
        <v>1</v>
      </c>
      <c r="R36" s="7">
        <v>1</v>
      </c>
      <c r="S36" s="7">
        <v>3</v>
      </c>
      <c r="T36" s="7">
        <v>1</v>
      </c>
      <c r="U36" s="30" t="s">
        <v>97</v>
      </c>
      <c r="V36" s="15">
        <v>1</v>
      </c>
    </row>
    <row r="37" spans="1:22">
      <c r="A37" s="32" t="s">
        <v>22</v>
      </c>
      <c r="B37" s="32" t="s">
        <v>23</v>
      </c>
      <c r="C37" s="1" t="s">
        <v>98</v>
      </c>
      <c r="D37" s="2" t="s">
        <v>88</v>
      </c>
      <c r="E37" s="11">
        <v>92.7</v>
      </c>
      <c r="F37" s="11">
        <v>86.75</v>
      </c>
      <c r="G37" s="11">
        <v>88.65</v>
      </c>
      <c r="H37" s="11">
        <v>93.1</v>
      </c>
      <c r="I37" s="7">
        <v>88.8</v>
      </c>
      <c r="J37" s="14">
        <f t="shared" si="0"/>
        <v>90.000000000000014</v>
      </c>
      <c r="K37" s="8">
        <v>132</v>
      </c>
      <c r="L37" s="8">
        <v>16</v>
      </c>
      <c r="M37" s="8">
        <v>45</v>
      </c>
      <c r="N37" s="14">
        <f>IF(ROUNDUP(IF(K37 &gt; 132, K37 / 40, K37 / 36), 0) &gt;= 7, 6, ROUNDUP(IF(K37 &gt; 132, K37 / 40, K37 / 36), 0))</f>
        <v>4</v>
      </c>
      <c r="O37" s="28">
        <f>L37*K37</f>
        <v>2112</v>
      </c>
      <c r="P37" s="28">
        <f>K37*M37</f>
        <v>5940</v>
      </c>
      <c r="Q37" s="7">
        <v>0</v>
      </c>
      <c r="R37" s="7">
        <v>1</v>
      </c>
      <c r="S37" s="7">
        <v>2</v>
      </c>
      <c r="T37" s="7">
        <v>0</v>
      </c>
      <c r="U37" s="30" t="s">
        <v>99</v>
      </c>
      <c r="V37" s="17">
        <v>1</v>
      </c>
    </row>
    <row r="38" spans="1:22">
      <c r="A38" s="32" t="s">
        <v>22</v>
      </c>
      <c r="B38" s="32" t="s">
        <v>23</v>
      </c>
      <c r="C38" s="1" t="s">
        <v>100</v>
      </c>
      <c r="D38" s="2" t="s">
        <v>88</v>
      </c>
      <c r="E38" s="11">
        <v>92.9</v>
      </c>
      <c r="F38" s="11">
        <v>88.65</v>
      </c>
      <c r="G38" s="11">
        <v>89.6</v>
      </c>
      <c r="H38" s="11">
        <v>93.5</v>
      </c>
      <c r="I38" s="7">
        <v>90.85</v>
      </c>
      <c r="J38" s="14">
        <f t="shared" si="0"/>
        <v>91.1</v>
      </c>
      <c r="K38" s="8">
        <v>132</v>
      </c>
      <c r="L38" s="8">
        <v>16</v>
      </c>
      <c r="M38" s="8">
        <v>50</v>
      </c>
      <c r="N38" s="14">
        <f>IF(ROUNDUP(IF(K38 &gt; 132, K38 / 40, K38 / 36), 0) &gt;= 7, 6, ROUNDUP(IF(K38 &gt; 132, K38 / 40, K38 / 36), 0))</f>
        <v>4</v>
      </c>
      <c r="O38" s="28">
        <f>L38*K38</f>
        <v>2112</v>
      </c>
      <c r="P38" s="28">
        <f>K38*M38</f>
        <v>6600</v>
      </c>
      <c r="Q38" s="7">
        <v>1</v>
      </c>
      <c r="R38" s="7">
        <v>2</v>
      </c>
      <c r="S38" s="7">
        <v>3</v>
      </c>
      <c r="T38" s="7">
        <v>2</v>
      </c>
      <c r="U38" s="30" t="s">
        <v>101</v>
      </c>
      <c r="V38" s="17">
        <v>1</v>
      </c>
    </row>
    <row r="39" spans="1:22">
      <c r="A39" s="32" t="s">
        <v>22</v>
      </c>
      <c r="B39" s="32" t="s">
        <v>23</v>
      </c>
      <c r="C39" s="1" t="s">
        <v>102</v>
      </c>
      <c r="D39" s="2" t="s">
        <v>88</v>
      </c>
      <c r="E39" s="11">
        <v>93.7</v>
      </c>
      <c r="F39" s="11">
        <v>88.35</v>
      </c>
      <c r="G39" s="11">
        <v>90.05</v>
      </c>
      <c r="H39" s="11">
        <v>93.15</v>
      </c>
      <c r="I39" s="7">
        <v>92.75</v>
      </c>
      <c r="J39" s="14">
        <f t="shared" si="0"/>
        <v>91.6</v>
      </c>
      <c r="K39" s="8">
        <v>132</v>
      </c>
      <c r="L39" s="8">
        <v>20</v>
      </c>
      <c r="M39" s="8">
        <v>50</v>
      </c>
      <c r="N39" s="14">
        <f>IF(ROUNDUP(IF(K39 &gt; 132, K39 / 40, K39 / 36), 0) &gt;= 7, 6, ROUNDUP(IF(K39 &gt; 132, K39 / 40, K39 / 36), 0))</f>
        <v>4</v>
      </c>
      <c r="O39" s="28">
        <f>L39*K39</f>
        <v>2640</v>
      </c>
      <c r="P39" s="28">
        <f>K39*M39</f>
        <v>6600</v>
      </c>
      <c r="Q39" s="7">
        <v>1</v>
      </c>
      <c r="R39" s="7">
        <v>3</v>
      </c>
      <c r="S39" s="7">
        <v>2</v>
      </c>
      <c r="T39" s="7">
        <v>1</v>
      </c>
      <c r="U39" s="30" t="s">
        <v>103</v>
      </c>
      <c r="V39" s="17">
        <v>1</v>
      </c>
    </row>
    <row r="40" spans="1:22">
      <c r="A40" s="32" t="s">
        <v>22</v>
      </c>
      <c r="B40" s="32" t="s">
        <v>23</v>
      </c>
      <c r="C40" s="1" t="s">
        <v>104</v>
      </c>
      <c r="D40" s="2" t="s">
        <v>88</v>
      </c>
      <c r="E40" s="12">
        <v>93.7</v>
      </c>
      <c r="F40" s="13">
        <v>93.7</v>
      </c>
      <c r="G40" s="13">
        <v>93.7</v>
      </c>
      <c r="H40" s="9">
        <v>94.5</v>
      </c>
      <c r="I40" s="7">
        <v>91.65</v>
      </c>
      <c r="J40" s="14">
        <f t="shared" si="0"/>
        <v>93.45</v>
      </c>
      <c r="K40" s="8">
        <v>132</v>
      </c>
      <c r="L40" s="8">
        <v>16</v>
      </c>
      <c r="M40" s="8">
        <v>50</v>
      </c>
      <c r="N40" s="14">
        <f>IF(ROUNDUP(IF(K40 &gt; 132, K40 / 40, K40 / 36), 0) &gt;= 7, 6, ROUNDUP(IF(K40 &gt; 132, K40 / 40, K40 / 36), 0))</f>
        <v>4</v>
      </c>
      <c r="O40" s="28">
        <f>L40*K40</f>
        <v>2112</v>
      </c>
      <c r="P40" s="28">
        <f>K40*M40</f>
        <v>6600</v>
      </c>
      <c r="Q40" s="7">
        <v>1</v>
      </c>
      <c r="R40" s="7">
        <v>2</v>
      </c>
      <c r="S40" s="7">
        <v>3</v>
      </c>
      <c r="T40" s="7">
        <v>2</v>
      </c>
      <c r="U40" s="30" t="s">
        <v>105</v>
      </c>
      <c r="V40" s="17">
        <v>1</v>
      </c>
    </row>
    <row r="41" spans="1:22">
      <c r="A41" s="32" t="s">
        <v>22</v>
      </c>
      <c r="B41" s="30" t="s">
        <v>23</v>
      </c>
      <c r="C41" s="1" t="s">
        <v>106</v>
      </c>
      <c r="D41" s="2" t="s">
        <v>88</v>
      </c>
      <c r="E41" s="9">
        <v>82.85</v>
      </c>
      <c r="F41" s="9">
        <v>82.85</v>
      </c>
      <c r="G41" s="9">
        <v>85.6</v>
      </c>
      <c r="H41" s="9">
        <v>85.6</v>
      </c>
      <c r="I41" s="7">
        <v>86.8</v>
      </c>
      <c r="J41" s="14">
        <f t="shared" si="0"/>
        <v>84.74</v>
      </c>
      <c r="K41" s="8">
        <v>132</v>
      </c>
      <c r="L41" s="8">
        <v>16</v>
      </c>
      <c r="M41" s="8">
        <v>45</v>
      </c>
      <c r="N41" s="14">
        <f>IF(ROUNDUP(IF(K41 &gt; 132, K41 / 40, K41 / 36), 0) &gt;= 7, 6, ROUNDUP(IF(K41 &gt; 132, K41 / 40, K41 / 36), 0))</f>
        <v>4</v>
      </c>
      <c r="O41" s="28">
        <f>L41*K41</f>
        <v>2112</v>
      </c>
      <c r="P41" s="28">
        <f>K41*M41</f>
        <v>5940</v>
      </c>
      <c r="Q41" s="7">
        <v>0</v>
      </c>
      <c r="R41" s="7">
        <v>0</v>
      </c>
      <c r="S41" s="7">
        <v>3</v>
      </c>
      <c r="T41" s="7">
        <v>0</v>
      </c>
      <c r="U41" s="30" t="s">
        <v>107</v>
      </c>
      <c r="V41" s="17">
        <v>1</v>
      </c>
    </row>
    <row r="42" spans="1:22">
      <c r="A42" s="2" t="s">
        <v>22</v>
      </c>
      <c r="B42" s="2" t="s">
        <v>23</v>
      </c>
      <c r="C42" s="1" t="s">
        <v>108</v>
      </c>
      <c r="D42" s="2" t="s">
        <v>88</v>
      </c>
      <c r="E42" s="11">
        <v>88.7</v>
      </c>
      <c r="F42" s="11">
        <v>83.5</v>
      </c>
      <c r="G42" s="11">
        <v>85.1</v>
      </c>
      <c r="H42" s="11">
        <v>87.95</v>
      </c>
      <c r="I42" s="7">
        <v>87.4</v>
      </c>
      <c r="J42" s="14">
        <f t="shared" si="0"/>
        <v>86.53</v>
      </c>
      <c r="K42" s="8">
        <v>132</v>
      </c>
      <c r="L42" s="8">
        <v>16</v>
      </c>
      <c r="M42" s="8">
        <v>45</v>
      </c>
      <c r="N42" s="14">
        <f>IF(ROUNDUP(IF(K42 &gt; 132, K42 / 40, K42 / 36), 0) &gt;= 7, 6, ROUNDUP(IF(K42 &gt; 132, K42 / 40, K42 / 36), 0))</f>
        <v>4</v>
      </c>
      <c r="O42" s="28">
        <f>L42*K42</f>
        <v>2112</v>
      </c>
      <c r="P42" s="28">
        <f>K42*M42</f>
        <v>5940</v>
      </c>
      <c r="Q42" s="7">
        <v>1</v>
      </c>
      <c r="R42" s="7">
        <v>2</v>
      </c>
      <c r="S42" s="7">
        <v>2</v>
      </c>
      <c r="T42" s="7">
        <v>0</v>
      </c>
      <c r="U42" s="30" t="s">
        <v>109</v>
      </c>
      <c r="V42" s="17">
        <v>1</v>
      </c>
    </row>
    <row r="43" spans="1:22">
      <c r="A43" s="32" t="s">
        <v>22</v>
      </c>
      <c r="B43" s="2" t="s">
        <v>23</v>
      </c>
      <c r="C43" s="1" t="s">
        <v>110</v>
      </c>
      <c r="D43" s="2" t="s">
        <v>88</v>
      </c>
      <c r="E43" s="11">
        <v>91.8</v>
      </c>
      <c r="F43" s="11">
        <v>85.95</v>
      </c>
      <c r="G43" s="11">
        <v>89.15</v>
      </c>
      <c r="H43" s="11">
        <v>94</v>
      </c>
      <c r="I43" s="7">
        <v>89.6</v>
      </c>
      <c r="J43" s="14">
        <f t="shared" si="0"/>
        <v>90.1</v>
      </c>
      <c r="K43" s="8">
        <v>132</v>
      </c>
      <c r="L43" s="8">
        <v>16</v>
      </c>
      <c r="M43" s="8">
        <v>45</v>
      </c>
      <c r="N43" s="14">
        <f>IF(ROUNDUP(IF(K43 &gt; 132, K43 / 40, K43 / 36), 0) &gt;= 7, 6, ROUNDUP(IF(K43 &gt; 132, K43 / 40, K43 / 36), 0))</f>
        <v>4</v>
      </c>
      <c r="O43" s="28">
        <f>L43*K43</f>
        <v>2112</v>
      </c>
      <c r="P43" s="28">
        <f>K43*M43</f>
        <v>5940</v>
      </c>
      <c r="Q43" s="7">
        <v>1</v>
      </c>
      <c r="R43" s="7">
        <v>2</v>
      </c>
      <c r="S43" s="7">
        <v>2</v>
      </c>
      <c r="T43" s="7">
        <v>1</v>
      </c>
      <c r="U43" s="30" t="s">
        <v>111</v>
      </c>
      <c r="V43" s="15">
        <v>1</v>
      </c>
    </row>
    <row r="44" spans="1:22">
      <c r="A44" s="32" t="s">
        <v>22</v>
      </c>
      <c r="B44" s="2" t="s">
        <v>23</v>
      </c>
      <c r="C44" s="1" t="s">
        <v>112</v>
      </c>
      <c r="D44" s="30" t="s">
        <v>113</v>
      </c>
      <c r="E44" s="11">
        <v>97.6</v>
      </c>
      <c r="F44" s="11">
        <v>95.4</v>
      </c>
      <c r="G44" s="11">
        <v>96.75</v>
      </c>
      <c r="H44" s="11">
        <v>97.45</v>
      </c>
      <c r="I44" s="7">
        <v>94.4</v>
      </c>
      <c r="J44" s="14">
        <f t="shared" si="0"/>
        <v>96.320000000000007</v>
      </c>
      <c r="K44" s="8">
        <v>132</v>
      </c>
      <c r="L44" s="8">
        <v>16</v>
      </c>
      <c r="M44" s="8">
        <v>65</v>
      </c>
      <c r="N44" s="14">
        <f>IF(ROUNDUP(IF(K44 &gt; 132, K44 / 40, K44 / 36), 0) &gt;= 7, 6, ROUNDUP(IF(K44 &gt; 132, K44 / 40, K44 / 36), 0))</f>
        <v>4</v>
      </c>
      <c r="O44" s="28">
        <f>L44*K44</f>
        <v>2112</v>
      </c>
      <c r="P44" s="28">
        <f>K44*M44</f>
        <v>8580</v>
      </c>
      <c r="Q44" s="7">
        <v>0</v>
      </c>
      <c r="R44" s="7">
        <v>1</v>
      </c>
      <c r="S44" s="7">
        <v>4</v>
      </c>
      <c r="T44" s="7">
        <v>1</v>
      </c>
      <c r="U44" s="30" t="s">
        <v>114</v>
      </c>
      <c r="V44" s="17">
        <v>1</v>
      </c>
    </row>
    <row r="45" spans="1:22">
      <c r="A45" s="32" t="s">
        <v>22</v>
      </c>
      <c r="B45" s="2" t="s">
        <v>23</v>
      </c>
      <c r="C45" s="1" t="s">
        <v>115</v>
      </c>
      <c r="D45" s="2" t="s">
        <v>113</v>
      </c>
      <c r="E45" s="11">
        <v>93.2</v>
      </c>
      <c r="F45" s="11">
        <v>85.3</v>
      </c>
      <c r="G45" s="11">
        <v>86.35</v>
      </c>
      <c r="H45" s="11">
        <v>90.4</v>
      </c>
      <c r="I45" s="7">
        <v>85.15</v>
      </c>
      <c r="J45" s="14">
        <f t="shared" si="0"/>
        <v>88.08</v>
      </c>
      <c r="K45" s="8">
        <v>132</v>
      </c>
      <c r="L45" s="8">
        <v>16</v>
      </c>
      <c r="M45" s="8">
        <v>45</v>
      </c>
      <c r="N45" s="14">
        <f>IF(ROUNDUP(IF(K45 &gt; 132, K45 / 40, K45 / 36), 0) &gt;= 7, 6, ROUNDUP(IF(K45 &gt; 132, K45 / 40, K45 / 36), 0))</f>
        <v>4</v>
      </c>
      <c r="O45" s="28">
        <f>L45*K45</f>
        <v>2112</v>
      </c>
      <c r="P45" s="28">
        <f>K45*M45</f>
        <v>5940</v>
      </c>
      <c r="Q45" s="7">
        <v>0</v>
      </c>
      <c r="R45" s="7">
        <v>0</v>
      </c>
      <c r="S45" s="7">
        <v>3</v>
      </c>
      <c r="T45" s="7">
        <v>0</v>
      </c>
      <c r="U45" s="30" t="s">
        <v>116</v>
      </c>
      <c r="V45" s="17">
        <v>1</v>
      </c>
    </row>
    <row r="46" spans="1:22">
      <c r="A46" s="32" t="s">
        <v>22</v>
      </c>
      <c r="B46" s="2" t="s">
        <v>23</v>
      </c>
      <c r="C46" s="1" t="s">
        <v>117</v>
      </c>
      <c r="D46" s="2" t="s">
        <v>113</v>
      </c>
      <c r="E46" s="11">
        <v>92.5</v>
      </c>
      <c r="F46" s="11">
        <v>87.05</v>
      </c>
      <c r="G46" s="11">
        <v>89.15</v>
      </c>
      <c r="H46" s="11">
        <v>92.2</v>
      </c>
      <c r="I46" s="7">
        <v>86.25</v>
      </c>
      <c r="J46" s="14">
        <f t="shared" si="0"/>
        <v>89.43</v>
      </c>
      <c r="K46" s="8">
        <v>132</v>
      </c>
      <c r="L46" s="8">
        <v>16</v>
      </c>
      <c r="M46" s="8">
        <v>45</v>
      </c>
      <c r="N46" s="14">
        <f>IF(ROUNDUP(IF(K46 &gt; 132, K46 / 40, K46 / 36), 0) &gt;= 7, 6, ROUNDUP(IF(K46 &gt; 132, K46 / 40, K46 / 36), 0))</f>
        <v>4</v>
      </c>
      <c r="O46" s="28">
        <f>L46*K46</f>
        <v>2112</v>
      </c>
      <c r="P46" s="28">
        <f>K46*M46</f>
        <v>5940</v>
      </c>
      <c r="Q46" s="7">
        <v>0</v>
      </c>
      <c r="R46" s="7">
        <v>0</v>
      </c>
      <c r="S46" s="7">
        <v>3</v>
      </c>
      <c r="T46" s="7">
        <v>0</v>
      </c>
      <c r="U46" s="30" t="s">
        <v>118</v>
      </c>
      <c r="V46" s="17">
        <v>1</v>
      </c>
    </row>
    <row r="47" spans="1:22">
      <c r="A47" s="32" t="s">
        <v>22</v>
      </c>
      <c r="B47" s="2" t="s">
        <v>23</v>
      </c>
      <c r="C47" s="1" t="s">
        <v>119</v>
      </c>
      <c r="D47" s="30" t="s">
        <v>120</v>
      </c>
      <c r="E47" s="11">
        <v>96.4</v>
      </c>
      <c r="F47" s="11">
        <v>90.95</v>
      </c>
      <c r="G47" s="11">
        <v>95.05</v>
      </c>
      <c r="H47" s="11">
        <v>96.05</v>
      </c>
      <c r="I47" s="7">
        <v>95.3</v>
      </c>
      <c r="J47" s="14">
        <f t="shared" si="0"/>
        <v>94.750000000000014</v>
      </c>
      <c r="K47" s="8">
        <v>132</v>
      </c>
      <c r="L47" s="8">
        <v>20</v>
      </c>
      <c r="M47" s="8">
        <v>70</v>
      </c>
      <c r="N47" s="14">
        <f>IF(ROUNDUP(IF(K47 &gt; 132, K47 / 40, K47 / 36), 0) &gt;= 7, 6, ROUNDUP(IF(K47 &gt; 132, K47 / 40, K47 / 36), 0))</f>
        <v>4</v>
      </c>
      <c r="O47" s="28">
        <f>L47*K47</f>
        <v>2640</v>
      </c>
      <c r="P47" s="28">
        <f>K47*M47</f>
        <v>9240</v>
      </c>
      <c r="Q47" s="7">
        <v>1</v>
      </c>
      <c r="R47" s="7">
        <v>2</v>
      </c>
      <c r="S47" s="7">
        <v>2</v>
      </c>
      <c r="T47" s="7">
        <v>1</v>
      </c>
      <c r="U47" s="30" t="s">
        <v>121</v>
      </c>
      <c r="V47" s="17">
        <v>1</v>
      </c>
    </row>
    <row r="48" spans="1:22">
      <c r="A48" s="32" t="s">
        <v>22</v>
      </c>
      <c r="B48" s="2" t="s">
        <v>23</v>
      </c>
      <c r="C48" s="1" t="s">
        <v>122</v>
      </c>
      <c r="D48" s="2" t="s">
        <v>120</v>
      </c>
      <c r="E48" s="11">
        <v>97.4</v>
      </c>
      <c r="F48" s="11">
        <v>93.6</v>
      </c>
      <c r="G48" s="11">
        <v>95.95</v>
      </c>
      <c r="H48" s="11">
        <v>97.15</v>
      </c>
      <c r="I48" s="7">
        <v>97</v>
      </c>
      <c r="J48" s="14">
        <f t="shared" si="0"/>
        <v>96.22</v>
      </c>
      <c r="K48" s="8">
        <v>132</v>
      </c>
      <c r="L48" s="8">
        <v>20</v>
      </c>
      <c r="M48" s="8">
        <v>70</v>
      </c>
      <c r="N48" s="14">
        <f>IF(ROUNDUP(IF(K48 &gt; 132, K48 / 40, K48 / 36), 0) &gt;= 7, 6, ROUNDUP(IF(K48 &gt; 132, K48 / 40, K48 / 36), 0))</f>
        <v>4</v>
      </c>
      <c r="O48" s="28">
        <f>L48*K48</f>
        <v>2640</v>
      </c>
      <c r="P48" s="28">
        <f>K48*M48</f>
        <v>9240</v>
      </c>
      <c r="Q48" s="14">
        <v>1</v>
      </c>
      <c r="R48" s="7">
        <v>2</v>
      </c>
      <c r="S48" s="7">
        <v>3</v>
      </c>
      <c r="T48" s="7">
        <v>1</v>
      </c>
      <c r="U48" s="30" t="s">
        <v>123</v>
      </c>
      <c r="V48" s="17">
        <v>1</v>
      </c>
    </row>
    <row r="49" spans="1:22">
      <c r="A49" s="32" t="s">
        <v>22</v>
      </c>
      <c r="B49" s="2" t="s">
        <v>23</v>
      </c>
      <c r="C49" s="1" t="s">
        <v>124</v>
      </c>
      <c r="D49" s="2" t="s">
        <v>120</v>
      </c>
      <c r="E49" s="11">
        <v>95.5</v>
      </c>
      <c r="F49" s="11">
        <v>90.05</v>
      </c>
      <c r="G49" s="11">
        <v>93.85</v>
      </c>
      <c r="H49" s="11">
        <v>95.1</v>
      </c>
      <c r="I49" s="7">
        <v>94.3</v>
      </c>
      <c r="J49" s="14">
        <f t="shared" si="0"/>
        <v>93.76</v>
      </c>
      <c r="K49" s="8">
        <v>132</v>
      </c>
      <c r="L49" s="8">
        <v>20</v>
      </c>
      <c r="M49" s="8">
        <v>70</v>
      </c>
      <c r="N49" s="14">
        <f>IF(ROUNDUP(IF(K49 &gt; 132, K49 / 40, K49 / 36), 0) &gt;= 7, 6, ROUNDUP(IF(K49 &gt; 132, K49 / 40, K49 / 36), 0))</f>
        <v>4</v>
      </c>
      <c r="O49" s="28">
        <f>L49*K49</f>
        <v>2640</v>
      </c>
      <c r="P49" s="28">
        <f>K49*M49</f>
        <v>9240</v>
      </c>
      <c r="Q49" s="14">
        <v>1</v>
      </c>
      <c r="R49" s="7">
        <v>2</v>
      </c>
      <c r="S49" s="7">
        <v>3</v>
      </c>
      <c r="T49" s="7">
        <v>2</v>
      </c>
      <c r="U49" s="30" t="s">
        <v>125</v>
      </c>
      <c r="V49" s="17">
        <v>1</v>
      </c>
    </row>
    <row r="50" spans="1:22">
      <c r="A50" s="32" t="s">
        <v>22</v>
      </c>
      <c r="B50" s="2" t="s">
        <v>23</v>
      </c>
      <c r="C50" s="1" t="s">
        <v>126</v>
      </c>
      <c r="D50" s="2" t="s">
        <v>120</v>
      </c>
      <c r="E50" s="11">
        <v>95.7</v>
      </c>
      <c r="F50" s="11">
        <v>91.25</v>
      </c>
      <c r="G50" s="11">
        <v>93.75</v>
      </c>
      <c r="H50" s="11">
        <v>96.1</v>
      </c>
      <c r="I50" s="7">
        <v>95.15</v>
      </c>
      <c r="J50" s="14">
        <f t="shared" si="0"/>
        <v>94.389999999999986</v>
      </c>
      <c r="K50" s="8">
        <v>132</v>
      </c>
      <c r="L50" s="8">
        <v>20</v>
      </c>
      <c r="M50" s="8">
        <v>70</v>
      </c>
      <c r="N50" s="14">
        <f>IF(ROUNDUP(IF(K50 &gt; 132, K50 / 40, K50 / 36), 0) &gt;= 7, 6, ROUNDUP(IF(K50 &gt; 132, K50 / 40, K50 / 36), 0))</f>
        <v>4</v>
      </c>
      <c r="O50" s="28">
        <f>L50*K50</f>
        <v>2640</v>
      </c>
      <c r="P50" s="28">
        <f>K50*M50</f>
        <v>9240</v>
      </c>
      <c r="Q50" s="14">
        <v>1</v>
      </c>
      <c r="R50" s="7">
        <v>2</v>
      </c>
      <c r="S50" s="7">
        <v>2</v>
      </c>
      <c r="T50" s="7">
        <v>2</v>
      </c>
      <c r="U50" s="30" t="s">
        <v>127</v>
      </c>
      <c r="V50" s="15">
        <v>1</v>
      </c>
    </row>
    <row r="51" spans="1:22">
      <c r="A51" s="32" t="s">
        <v>22</v>
      </c>
      <c r="B51" s="2" t="s">
        <v>23</v>
      </c>
      <c r="C51" s="1" t="s">
        <v>128</v>
      </c>
      <c r="D51" s="2" t="s">
        <v>120</v>
      </c>
      <c r="E51" s="11">
        <v>94.9</v>
      </c>
      <c r="F51" s="11">
        <v>90.45</v>
      </c>
      <c r="G51" s="11">
        <v>93.4</v>
      </c>
      <c r="H51" s="11">
        <v>96.2</v>
      </c>
      <c r="I51" s="7">
        <v>94.75</v>
      </c>
      <c r="J51" s="14">
        <f t="shared" si="0"/>
        <v>93.94</v>
      </c>
      <c r="K51" s="8">
        <v>132</v>
      </c>
      <c r="L51" s="8">
        <v>47</v>
      </c>
      <c r="M51" s="8">
        <v>90</v>
      </c>
      <c r="N51" s="14">
        <f>IF(ROUNDUP(IF(K51 &gt; 132, K51 / 40, K51 / 36), 0) &gt;= 7, 6, ROUNDUP(IF(K51 &gt; 132, K51 / 40, K51 / 36), 0))</f>
        <v>4</v>
      </c>
      <c r="O51" s="28">
        <f>L51*K51</f>
        <v>6204</v>
      </c>
      <c r="P51" s="28">
        <f>K51*M51</f>
        <v>11880</v>
      </c>
      <c r="Q51" s="14">
        <v>1</v>
      </c>
      <c r="R51" s="7">
        <v>2</v>
      </c>
      <c r="S51" s="7">
        <v>3</v>
      </c>
      <c r="T51" s="7">
        <v>2</v>
      </c>
      <c r="U51" s="30" t="s">
        <v>129</v>
      </c>
      <c r="V51" s="17">
        <v>1</v>
      </c>
    </row>
    <row r="52" spans="1:22">
      <c r="A52" s="32" t="s">
        <v>22</v>
      </c>
      <c r="B52" s="2" t="s">
        <v>23</v>
      </c>
      <c r="C52" s="1" t="s">
        <v>130</v>
      </c>
      <c r="D52" s="2" t="s">
        <v>120</v>
      </c>
      <c r="E52" s="11">
        <v>94.7</v>
      </c>
      <c r="F52" s="11">
        <v>89.25</v>
      </c>
      <c r="G52" s="11">
        <v>92.5</v>
      </c>
      <c r="H52" s="11">
        <v>94.7</v>
      </c>
      <c r="I52" s="7">
        <v>93.3</v>
      </c>
      <c r="J52" s="14">
        <f t="shared" si="0"/>
        <v>92.89</v>
      </c>
      <c r="K52" s="8">
        <v>132</v>
      </c>
      <c r="L52" s="8">
        <v>20</v>
      </c>
      <c r="M52" s="8">
        <v>45</v>
      </c>
      <c r="N52" s="14">
        <f>IF(ROUNDUP(IF(K52 &gt; 132, K52 / 40, K52 / 36), 0) &gt;= 7, 6, ROUNDUP(IF(K52 &gt; 132, K52 / 40, K52 / 36), 0))</f>
        <v>4</v>
      </c>
      <c r="O52" s="28">
        <f>L52*K52</f>
        <v>2640</v>
      </c>
      <c r="P52" s="28">
        <f>K52*M52</f>
        <v>5940</v>
      </c>
      <c r="Q52" s="14">
        <v>1</v>
      </c>
      <c r="R52" s="7">
        <v>2</v>
      </c>
      <c r="S52" s="7">
        <v>2</v>
      </c>
      <c r="T52" s="7">
        <v>0</v>
      </c>
      <c r="U52" s="30" t="s">
        <v>131</v>
      </c>
      <c r="V52" s="17">
        <v>1</v>
      </c>
    </row>
    <row r="53" spans="1:22" s="15" customFormat="1">
      <c r="A53" s="32" t="s">
        <v>22</v>
      </c>
      <c r="B53" s="30" t="s">
        <v>23</v>
      </c>
      <c r="C53" s="1" t="s">
        <v>132</v>
      </c>
      <c r="D53" s="2" t="s">
        <v>120</v>
      </c>
      <c r="E53" s="11">
        <v>94.6</v>
      </c>
      <c r="F53" s="11">
        <v>88.8</v>
      </c>
      <c r="G53" s="11">
        <v>92.6</v>
      </c>
      <c r="H53" s="11">
        <v>95.05</v>
      </c>
      <c r="I53" s="7">
        <v>92.6</v>
      </c>
      <c r="J53" s="14">
        <f t="shared" si="0"/>
        <v>92.72999999999999</v>
      </c>
      <c r="K53" s="8">
        <v>132</v>
      </c>
      <c r="L53" s="8">
        <v>16</v>
      </c>
      <c r="M53" s="8">
        <v>45</v>
      </c>
      <c r="N53" s="14">
        <f>IF(ROUNDUP(IF(K53 &gt; 132, K53 / 40, K53 / 36), 0) &gt;= 7, 6, ROUNDUP(IF(K53 &gt; 132, K53 / 40, K53 / 36), 0))</f>
        <v>4</v>
      </c>
      <c r="O53" s="28">
        <f>L53*K53</f>
        <v>2112</v>
      </c>
      <c r="P53" s="28">
        <f>K53*M53</f>
        <v>5940</v>
      </c>
      <c r="Q53" s="14">
        <v>0</v>
      </c>
      <c r="R53" s="7">
        <v>1</v>
      </c>
      <c r="S53" s="7">
        <v>3</v>
      </c>
      <c r="T53" s="7">
        <v>1</v>
      </c>
      <c r="U53" s="7" t="s">
        <v>133</v>
      </c>
      <c r="V53" s="17">
        <v>1</v>
      </c>
    </row>
    <row r="54" spans="1:22">
      <c r="A54" s="32" t="s">
        <v>134</v>
      </c>
      <c r="B54" s="2" t="s">
        <v>135</v>
      </c>
      <c r="C54" s="30" t="s">
        <v>24</v>
      </c>
      <c r="D54" s="27" t="s">
        <v>25</v>
      </c>
      <c r="E54" s="11">
        <v>98.8</v>
      </c>
      <c r="F54" s="11">
        <v>95.23</v>
      </c>
      <c r="G54" s="11">
        <v>96.55</v>
      </c>
      <c r="H54" s="11">
        <v>97.45</v>
      </c>
      <c r="I54" s="43">
        <v>97.7</v>
      </c>
      <c r="J54" s="14">
        <f t="shared" si="0"/>
        <v>97.145999999999987</v>
      </c>
      <c r="K54" s="28">
        <v>257</v>
      </c>
      <c r="L54" s="8">
        <v>85</v>
      </c>
      <c r="M54" s="8">
        <v>175</v>
      </c>
      <c r="N54" s="14">
        <f>IF(ROUNDUP(IF(K54 &gt; 132, K54 / 40, K54 / 36), 0) &gt;= 7, 6, ROUNDUP(IF(K54 &gt; 132, K54 / 40, K54 / 36), 0))</f>
        <v>6</v>
      </c>
      <c r="O54" s="28">
        <f>L54*K54</f>
        <v>21845</v>
      </c>
      <c r="P54" s="28">
        <f>K54*M54</f>
        <v>44975</v>
      </c>
      <c r="Q54" s="14">
        <v>1</v>
      </c>
      <c r="R54" s="16">
        <v>3</v>
      </c>
      <c r="S54" s="14">
        <v>4</v>
      </c>
      <c r="T54" s="29">
        <v>2</v>
      </c>
      <c r="U54" s="27" t="s">
        <v>26</v>
      </c>
      <c r="V54" s="17">
        <v>1</v>
      </c>
    </row>
    <row r="55" spans="1:22">
      <c r="A55" s="2" t="s">
        <v>134</v>
      </c>
      <c r="B55" s="2" t="s">
        <v>135</v>
      </c>
      <c r="C55" s="27" t="s">
        <v>27</v>
      </c>
      <c r="D55" s="27" t="s">
        <v>25</v>
      </c>
      <c r="E55" s="12">
        <v>96.35</v>
      </c>
      <c r="F55" s="12">
        <v>96.35</v>
      </c>
      <c r="G55" s="12">
        <v>96.35</v>
      </c>
      <c r="H55" s="12">
        <v>96.35</v>
      </c>
      <c r="I55" s="7">
        <v>96.7</v>
      </c>
      <c r="J55" s="14">
        <f t="shared" si="0"/>
        <v>96.419999999999987</v>
      </c>
      <c r="K55" s="28">
        <v>198</v>
      </c>
      <c r="L55" s="33">
        <v>150</v>
      </c>
      <c r="M55" s="33">
        <v>225</v>
      </c>
      <c r="N55" s="14">
        <f>IF(ROUNDUP(IF(K55 &gt; 132, K55 / 40, K55 / 36), 0) &gt;= 7, 6, ROUNDUP(IF(K55 &gt; 132, K55 / 40, K55 / 36), 0))</f>
        <v>5</v>
      </c>
      <c r="O55" s="28">
        <f>L55*K55</f>
        <v>29700</v>
      </c>
      <c r="P55" s="28">
        <f>K55*M55</f>
        <v>44550</v>
      </c>
      <c r="Q55" s="14">
        <v>1</v>
      </c>
      <c r="R55" s="16">
        <v>3</v>
      </c>
      <c r="S55" s="14">
        <v>4</v>
      </c>
      <c r="T55" s="29">
        <v>1</v>
      </c>
      <c r="U55" s="27" t="s">
        <v>28</v>
      </c>
      <c r="V55" s="17">
        <v>1</v>
      </c>
    </row>
    <row r="56" spans="1:22">
      <c r="A56" s="2" t="s">
        <v>134</v>
      </c>
      <c r="B56" s="2" t="s">
        <v>135</v>
      </c>
      <c r="C56" s="27" t="s">
        <v>29</v>
      </c>
      <c r="D56" s="27" t="s">
        <v>25</v>
      </c>
      <c r="E56" s="11">
        <v>97.4</v>
      </c>
      <c r="F56" s="11">
        <v>92.05</v>
      </c>
      <c r="G56" s="11">
        <v>94.2</v>
      </c>
      <c r="H56" s="11">
        <v>95.65</v>
      </c>
      <c r="I56" s="7">
        <v>94.9</v>
      </c>
      <c r="J56" s="14">
        <f t="shared" si="0"/>
        <v>94.839999999999989</v>
      </c>
      <c r="K56" s="28">
        <v>165</v>
      </c>
      <c r="L56" s="8">
        <v>75</v>
      </c>
      <c r="M56" s="8">
        <v>140</v>
      </c>
      <c r="N56" s="14">
        <f>IF(ROUNDUP(IF(K56 &gt; 132, K56 / 40, K56 / 36), 0) &gt;= 7, 6, ROUNDUP(IF(K56 &gt; 132, K56 / 40, K56 / 36), 0))</f>
        <v>5</v>
      </c>
      <c r="O56" s="28">
        <f>L56*K56</f>
        <v>12375</v>
      </c>
      <c r="P56" s="28">
        <f>K56*M56</f>
        <v>23100</v>
      </c>
      <c r="Q56" s="14">
        <v>1</v>
      </c>
      <c r="R56" s="16">
        <v>3</v>
      </c>
      <c r="S56" s="14">
        <v>3</v>
      </c>
      <c r="T56" s="29">
        <v>1</v>
      </c>
      <c r="U56" s="27" t="s">
        <v>30</v>
      </c>
      <c r="V56" s="17">
        <v>1</v>
      </c>
    </row>
    <row r="57" spans="1:22">
      <c r="A57" s="2" t="s">
        <v>134</v>
      </c>
      <c r="B57" s="2" t="s">
        <v>135</v>
      </c>
      <c r="C57" s="27" t="s">
        <v>31</v>
      </c>
      <c r="D57" s="27" t="s">
        <v>25</v>
      </c>
      <c r="E57" s="12">
        <v>92.5</v>
      </c>
      <c r="F57" s="12">
        <v>92.9</v>
      </c>
      <c r="G57" s="12">
        <v>92.5</v>
      </c>
      <c r="H57" s="12">
        <v>92.9</v>
      </c>
      <c r="I57" s="7">
        <v>91.9</v>
      </c>
      <c r="J57" s="14">
        <f t="shared" si="0"/>
        <v>92.539999999999992</v>
      </c>
      <c r="K57" s="28">
        <v>135</v>
      </c>
      <c r="L57" s="8">
        <v>20</v>
      </c>
      <c r="M57" s="8">
        <v>60</v>
      </c>
      <c r="N57" s="14">
        <f>IF(ROUNDUP(IF(K57 &gt; 132, K57 / 40, K57 / 36), 0) &gt;= 7, 6, ROUNDUP(IF(K57 &gt; 132, K57 / 40, K57 / 36), 0))</f>
        <v>4</v>
      </c>
      <c r="O57" s="28">
        <f>L57*K57</f>
        <v>2700</v>
      </c>
      <c r="P57" s="28">
        <f>K57*M57</f>
        <v>8100</v>
      </c>
      <c r="Q57" s="14">
        <v>1</v>
      </c>
      <c r="R57" s="16">
        <v>3</v>
      </c>
      <c r="S57" s="14">
        <v>3</v>
      </c>
      <c r="T57" s="29">
        <v>1</v>
      </c>
      <c r="U57" s="2" t="s">
        <v>32</v>
      </c>
      <c r="V57" s="15">
        <v>1</v>
      </c>
    </row>
    <row r="58" spans="1:22">
      <c r="A58" s="2" t="s">
        <v>134</v>
      </c>
      <c r="B58" s="2" t="s">
        <v>135</v>
      </c>
      <c r="C58" s="27" t="s">
        <v>33</v>
      </c>
      <c r="D58" s="27" t="s">
        <v>25</v>
      </c>
      <c r="E58" s="11">
        <v>94.2</v>
      </c>
      <c r="F58" s="11">
        <v>86.25</v>
      </c>
      <c r="G58" s="11">
        <v>90.25</v>
      </c>
      <c r="H58" s="11">
        <v>92.35</v>
      </c>
      <c r="I58" s="7">
        <v>91.7</v>
      </c>
      <c r="J58" s="14">
        <f t="shared" si="0"/>
        <v>90.949999999999989</v>
      </c>
      <c r="K58" s="28">
        <v>132</v>
      </c>
      <c r="L58" s="8">
        <v>30</v>
      </c>
      <c r="M58" s="8">
        <v>60</v>
      </c>
      <c r="N58" s="14">
        <f>IF(ROUNDUP(IF(K58 &gt; 132, K58 / 40, K58 / 36), 0) &gt;= 7, 6, ROUNDUP(IF(K58 &gt; 132, K58 / 40, K58 / 36), 0))</f>
        <v>4</v>
      </c>
      <c r="O58" s="28">
        <f>L58*K58</f>
        <v>3960</v>
      </c>
      <c r="P58" s="28">
        <f>K58*M58</f>
        <v>7920</v>
      </c>
      <c r="Q58" s="14">
        <v>1</v>
      </c>
      <c r="R58" s="16">
        <v>4</v>
      </c>
      <c r="S58" s="16">
        <v>3</v>
      </c>
      <c r="T58" s="29">
        <v>1</v>
      </c>
      <c r="U58" s="27" t="s">
        <v>34</v>
      </c>
      <c r="V58" s="17">
        <v>1</v>
      </c>
    </row>
    <row r="59" spans="1:22">
      <c r="A59" s="2" t="s">
        <v>134</v>
      </c>
      <c r="B59" s="2" t="s">
        <v>135</v>
      </c>
      <c r="C59" s="27" t="s">
        <v>35</v>
      </c>
      <c r="D59" s="27" t="s">
        <v>25</v>
      </c>
      <c r="E59" s="11">
        <v>95</v>
      </c>
      <c r="F59" s="11">
        <v>87.6</v>
      </c>
      <c r="G59" s="11">
        <v>90.8</v>
      </c>
      <c r="H59" s="11">
        <v>92.7</v>
      </c>
      <c r="I59" s="7">
        <v>93.7</v>
      </c>
      <c r="J59" s="14">
        <f t="shared" si="0"/>
        <v>91.96</v>
      </c>
      <c r="K59" s="28">
        <v>132</v>
      </c>
      <c r="L59" s="8">
        <v>30</v>
      </c>
      <c r="M59" s="8">
        <v>55</v>
      </c>
      <c r="N59" s="14">
        <f>IF(ROUNDUP(IF(K59 &gt; 132, K59 / 40, K59 / 36), 0) &gt;= 7, 6, ROUNDUP(IF(K59 &gt; 132, K59 / 40, K59 / 36), 0))</f>
        <v>4</v>
      </c>
      <c r="O59" s="28">
        <f>L59*K59</f>
        <v>3960</v>
      </c>
      <c r="P59" s="28">
        <f>K59*M59</f>
        <v>7260</v>
      </c>
      <c r="Q59" s="14">
        <v>1</v>
      </c>
      <c r="R59" s="16">
        <v>3</v>
      </c>
      <c r="S59" s="14">
        <v>2</v>
      </c>
      <c r="T59" s="29">
        <v>1</v>
      </c>
      <c r="U59" s="31" t="s">
        <v>36</v>
      </c>
      <c r="V59" s="17">
        <v>1</v>
      </c>
    </row>
    <row r="60" spans="1:22">
      <c r="A60" s="2" t="s">
        <v>134</v>
      </c>
      <c r="B60" s="2" t="s">
        <v>135</v>
      </c>
      <c r="C60" s="27" t="s">
        <v>37</v>
      </c>
      <c r="D60" s="27" t="s">
        <v>25</v>
      </c>
      <c r="E60" s="11">
        <v>93.3</v>
      </c>
      <c r="F60" s="11">
        <v>85.45</v>
      </c>
      <c r="G60" s="11">
        <v>87.7</v>
      </c>
      <c r="H60" s="11">
        <v>90.8</v>
      </c>
      <c r="I60" s="7">
        <v>90.65</v>
      </c>
      <c r="J60" s="14">
        <f t="shared" si="0"/>
        <v>89.58</v>
      </c>
      <c r="K60" s="28">
        <v>132</v>
      </c>
      <c r="L60" s="8">
        <v>30</v>
      </c>
      <c r="M60" s="8">
        <v>55</v>
      </c>
      <c r="N60" s="14">
        <f>IF(ROUNDUP(IF(K60 &gt; 132, K60 / 40, K60 / 36), 0) &gt;= 7, 6, ROUNDUP(IF(K60 &gt; 132, K60 / 40, K60 / 36), 0))</f>
        <v>4</v>
      </c>
      <c r="O60" s="28">
        <f>L60*K60</f>
        <v>3960</v>
      </c>
      <c r="P60" s="28">
        <f>K60*M60</f>
        <v>7260</v>
      </c>
      <c r="Q60" s="7"/>
      <c r="R60" s="16">
        <v>3</v>
      </c>
      <c r="S60" s="14">
        <v>2</v>
      </c>
      <c r="T60" s="29">
        <v>2</v>
      </c>
      <c r="U60" s="31" t="s">
        <v>38</v>
      </c>
      <c r="V60" s="17">
        <v>1</v>
      </c>
    </row>
    <row r="61" spans="1:22">
      <c r="A61" s="2" t="s">
        <v>134</v>
      </c>
      <c r="B61" s="2" t="s">
        <v>135</v>
      </c>
      <c r="C61" s="27" t="s">
        <v>39</v>
      </c>
      <c r="D61" s="27" t="s">
        <v>25</v>
      </c>
      <c r="E61" s="11">
        <v>96.4</v>
      </c>
      <c r="F61" s="11">
        <v>92.05</v>
      </c>
      <c r="G61" s="11">
        <v>94.2</v>
      </c>
      <c r="H61" s="11">
        <v>95.65</v>
      </c>
      <c r="I61" s="7">
        <v>95.6</v>
      </c>
      <c r="J61" s="14">
        <f t="shared" si="0"/>
        <v>94.78</v>
      </c>
      <c r="K61" s="28">
        <v>219</v>
      </c>
      <c r="L61" s="8">
        <v>75</v>
      </c>
      <c r="M61" s="8">
        <v>150</v>
      </c>
      <c r="N61" s="14">
        <f>IF(ROUNDUP(IF(K61 &gt; 132, K61 / 40, K61 / 36), 0) &gt;= 7, 6, ROUNDUP(IF(K61 &gt; 132, K61 / 40, K61 / 36), 0))</f>
        <v>6</v>
      </c>
      <c r="O61" s="28">
        <f>L61*K61</f>
        <v>16425</v>
      </c>
      <c r="P61" s="28">
        <f>K61*M61</f>
        <v>32850</v>
      </c>
      <c r="Q61" s="14">
        <v>1</v>
      </c>
      <c r="R61" s="16">
        <v>4</v>
      </c>
      <c r="S61" s="14">
        <v>4</v>
      </c>
      <c r="T61" s="29">
        <v>1</v>
      </c>
      <c r="U61" s="2" t="s">
        <v>40</v>
      </c>
      <c r="V61" s="17">
        <v>1</v>
      </c>
    </row>
    <row r="62" spans="1:22">
      <c r="A62" s="2" t="s">
        <v>134</v>
      </c>
      <c r="B62" s="2" t="s">
        <v>135</v>
      </c>
      <c r="C62" s="31" t="s">
        <v>41</v>
      </c>
      <c r="D62" s="31" t="s">
        <v>42</v>
      </c>
      <c r="E62" s="11">
        <v>96.1</v>
      </c>
      <c r="F62" s="11">
        <v>86.35</v>
      </c>
      <c r="G62" s="11">
        <v>87.35</v>
      </c>
      <c r="H62" s="11">
        <v>91.95</v>
      </c>
      <c r="I62" s="7">
        <v>93.9</v>
      </c>
      <c r="J62" s="14">
        <f t="shared" si="0"/>
        <v>91.13</v>
      </c>
      <c r="K62" s="28">
        <v>171</v>
      </c>
      <c r="L62" s="8">
        <v>50</v>
      </c>
      <c r="M62" s="8">
        <v>90</v>
      </c>
      <c r="N62" s="14">
        <f>IF(ROUNDUP(IF(K62 &gt; 132, K62 / 40, K62 / 36), 0) &gt;= 7, 6, ROUNDUP(IF(K62 &gt; 132, K62 / 40, K62 / 36), 0))</f>
        <v>5</v>
      </c>
      <c r="O62" s="28">
        <f>L62*K62</f>
        <v>8550</v>
      </c>
      <c r="P62" s="28">
        <f>K62*M62</f>
        <v>15390</v>
      </c>
      <c r="Q62" s="14">
        <v>1</v>
      </c>
      <c r="R62" s="16">
        <v>3</v>
      </c>
      <c r="S62" s="14">
        <v>3</v>
      </c>
      <c r="T62" s="14">
        <v>1</v>
      </c>
      <c r="U62" s="30" t="s">
        <v>43</v>
      </c>
      <c r="V62" s="17">
        <v>1</v>
      </c>
    </row>
    <row r="63" spans="1:22">
      <c r="A63" s="2" t="s">
        <v>134</v>
      </c>
      <c r="B63" s="2" t="s">
        <v>135</v>
      </c>
      <c r="C63" s="30" t="s">
        <v>44</v>
      </c>
      <c r="D63" s="35" t="s">
        <v>42</v>
      </c>
      <c r="E63" s="11">
        <v>93.2</v>
      </c>
      <c r="F63" s="11">
        <v>80.25</v>
      </c>
      <c r="G63" s="11">
        <v>80</v>
      </c>
      <c r="H63" s="11">
        <v>87.5</v>
      </c>
      <c r="I63" s="7">
        <v>88.23</v>
      </c>
      <c r="J63" s="14">
        <f t="shared" si="0"/>
        <v>85.835999999999999</v>
      </c>
      <c r="K63" s="8">
        <v>160</v>
      </c>
      <c r="L63" s="8">
        <v>40</v>
      </c>
      <c r="M63" s="8">
        <v>90</v>
      </c>
      <c r="N63" s="14">
        <f>IF(ROUNDUP(IF(K63 &gt; 132, K63 / 40, K63 / 36), 0) &gt;= 7, 6, ROUNDUP(IF(K63 &gt; 132, K63 / 40, K63 / 36), 0))</f>
        <v>4</v>
      </c>
      <c r="O63" s="28">
        <f>L63*K63</f>
        <v>6400</v>
      </c>
      <c r="P63" s="28">
        <f>K63*M63</f>
        <v>14400</v>
      </c>
      <c r="Q63" s="14">
        <v>1</v>
      </c>
      <c r="R63" s="7">
        <v>2</v>
      </c>
      <c r="S63" s="7">
        <v>3</v>
      </c>
      <c r="T63" s="7">
        <v>1</v>
      </c>
      <c r="U63" s="30" t="s">
        <v>45</v>
      </c>
      <c r="V63" s="17">
        <v>1</v>
      </c>
    </row>
    <row r="64" spans="1:22">
      <c r="A64" s="2" t="s">
        <v>134</v>
      </c>
      <c r="B64" s="2" t="s">
        <v>135</v>
      </c>
      <c r="C64" s="30" t="s">
        <v>46</v>
      </c>
      <c r="D64" s="35" t="s">
        <v>42</v>
      </c>
      <c r="E64" s="11">
        <v>92.8</v>
      </c>
      <c r="F64" s="11">
        <v>80</v>
      </c>
      <c r="G64" s="11">
        <v>81.349999999999994</v>
      </c>
      <c r="H64" s="11">
        <v>88.7</v>
      </c>
      <c r="I64" s="7">
        <v>95.3</v>
      </c>
      <c r="J64" s="14">
        <f t="shared" si="0"/>
        <v>87.63000000000001</v>
      </c>
      <c r="K64" s="8">
        <v>160</v>
      </c>
      <c r="L64" s="8">
        <v>40</v>
      </c>
      <c r="M64" s="8">
        <v>75</v>
      </c>
      <c r="N64" s="14">
        <f>IF(ROUNDUP(IF(K64 &gt; 132, K64 / 40, K64 / 36), 0) &gt;= 7, 6, ROUNDUP(IF(K64 &gt; 132, K64 / 40, K64 / 36), 0))</f>
        <v>4</v>
      </c>
      <c r="O64" s="28">
        <f>L64*K64</f>
        <v>6400</v>
      </c>
      <c r="P64" s="28">
        <f>K64*M64</f>
        <v>12000</v>
      </c>
      <c r="Q64" s="14">
        <v>1</v>
      </c>
      <c r="R64" s="7">
        <v>2</v>
      </c>
      <c r="S64" s="7">
        <v>4</v>
      </c>
      <c r="T64" s="7">
        <v>2</v>
      </c>
      <c r="U64" s="30" t="s">
        <v>47</v>
      </c>
      <c r="V64" s="15">
        <v>1</v>
      </c>
    </row>
    <row r="65" spans="1:22">
      <c r="A65" s="2" t="s">
        <v>134</v>
      </c>
      <c r="B65" s="2" t="s">
        <v>135</v>
      </c>
      <c r="C65" s="30" t="s">
        <v>48</v>
      </c>
      <c r="D65" s="35" t="s">
        <v>42</v>
      </c>
      <c r="E65" s="11">
        <v>94.4</v>
      </c>
      <c r="F65" s="11">
        <v>80.900000000000006</v>
      </c>
      <c r="G65" s="11">
        <v>82.1</v>
      </c>
      <c r="H65" s="11">
        <v>88.4</v>
      </c>
      <c r="I65" s="7">
        <v>94.3</v>
      </c>
      <c r="J65" s="14">
        <f t="shared" si="0"/>
        <v>88.02</v>
      </c>
      <c r="K65" s="8">
        <v>160</v>
      </c>
      <c r="L65" s="8">
        <v>40</v>
      </c>
      <c r="M65" s="8">
        <v>90</v>
      </c>
      <c r="N65" s="14">
        <f>IF(ROUNDUP(IF(K65 &gt; 132, K65 / 40, K65 / 36), 0) &gt;= 7, 6, ROUNDUP(IF(K65 &gt; 132, K65 / 40, K65 / 36), 0))</f>
        <v>4</v>
      </c>
      <c r="O65" s="28">
        <f>L65*K65</f>
        <v>6400</v>
      </c>
      <c r="P65" s="28">
        <f>K65*M65</f>
        <v>14400</v>
      </c>
      <c r="Q65" s="14">
        <v>1</v>
      </c>
      <c r="R65" s="7">
        <v>2</v>
      </c>
      <c r="S65" s="7">
        <v>3</v>
      </c>
      <c r="T65" s="7">
        <v>2</v>
      </c>
      <c r="U65" s="30" t="s">
        <v>49</v>
      </c>
      <c r="V65" s="17">
        <v>1</v>
      </c>
    </row>
    <row r="66" spans="1:22">
      <c r="A66" s="2" t="s">
        <v>134</v>
      </c>
      <c r="B66" s="2" t="s">
        <v>135</v>
      </c>
      <c r="C66" s="30" t="s">
        <v>52</v>
      </c>
      <c r="D66" s="35" t="s">
        <v>42</v>
      </c>
      <c r="E66" s="11">
        <v>94.7</v>
      </c>
      <c r="F66" s="11">
        <v>87.5</v>
      </c>
      <c r="G66" s="11">
        <v>90.83</v>
      </c>
      <c r="H66" s="11">
        <v>93.75</v>
      </c>
      <c r="I66" s="7">
        <v>98.05</v>
      </c>
      <c r="J66" s="14">
        <f t="shared" si="0"/>
        <v>92.965999999999994</v>
      </c>
      <c r="K66" s="8">
        <v>160</v>
      </c>
      <c r="L66" s="8">
        <v>40</v>
      </c>
      <c r="M66" s="8">
        <v>75</v>
      </c>
      <c r="N66" s="14">
        <f>IF(ROUNDUP(IF(K66 &gt; 132, K66 / 40, K66 / 36), 0) &gt;= 7, 6, ROUNDUP(IF(K66 &gt; 132, K66 / 40, K66 / 36), 0))</f>
        <v>4</v>
      </c>
      <c r="O66" s="28">
        <f>L66*K66</f>
        <v>6400</v>
      </c>
      <c r="P66" s="28">
        <f>K66*M66</f>
        <v>12000</v>
      </c>
      <c r="Q66" s="7">
        <v>1</v>
      </c>
      <c r="R66" s="7">
        <v>2</v>
      </c>
      <c r="S66" s="7">
        <v>3</v>
      </c>
      <c r="T66" s="7">
        <v>1</v>
      </c>
      <c r="U66" s="30" t="s">
        <v>53</v>
      </c>
      <c r="V66" s="17">
        <v>1</v>
      </c>
    </row>
    <row r="67" spans="1:22">
      <c r="A67" s="2" t="s">
        <v>134</v>
      </c>
      <c r="B67" s="2" t="s">
        <v>135</v>
      </c>
      <c r="C67" s="30" t="s">
        <v>54</v>
      </c>
      <c r="D67" s="35" t="s">
        <v>42</v>
      </c>
      <c r="E67" s="11">
        <v>94.4</v>
      </c>
      <c r="F67" s="11">
        <v>83.85</v>
      </c>
      <c r="G67" s="11">
        <v>86.23</v>
      </c>
      <c r="H67" s="11">
        <v>89.65</v>
      </c>
      <c r="I67" s="7">
        <v>96.4</v>
      </c>
      <c r="J67" s="14">
        <f t="shared" ref="J67:J130" si="1">AVERAGE(E67:I67)</f>
        <v>90.105999999999995</v>
      </c>
      <c r="K67" s="8">
        <v>132</v>
      </c>
      <c r="L67" s="8">
        <v>40</v>
      </c>
      <c r="M67" s="8">
        <v>70</v>
      </c>
      <c r="N67" s="14">
        <f>IF(ROUNDUP(IF(K67 &gt; 132, K67 / 40, K67 / 36), 0) &gt;= 7, 6, ROUNDUP(IF(K67 &gt; 132, K67 / 40, K67 / 36), 0))</f>
        <v>4</v>
      </c>
      <c r="O67" s="28">
        <f>L67*K67</f>
        <v>5280</v>
      </c>
      <c r="P67" s="28">
        <f>K67*M67</f>
        <v>9240</v>
      </c>
      <c r="Q67" s="7">
        <v>1</v>
      </c>
      <c r="R67" s="7">
        <v>3</v>
      </c>
      <c r="S67" s="7">
        <v>3</v>
      </c>
      <c r="T67" s="7">
        <v>2</v>
      </c>
      <c r="U67" s="30" t="s">
        <v>55</v>
      </c>
      <c r="V67" s="17">
        <v>1</v>
      </c>
    </row>
    <row r="68" spans="1:22">
      <c r="A68" s="2" t="s">
        <v>134</v>
      </c>
      <c r="B68" s="2" t="s">
        <v>135</v>
      </c>
      <c r="C68" s="30" t="s">
        <v>56</v>
      </c>
      <c r="D68" s="35" t="s">
        <v>42</v>
      </c>
      <c r="E68" s="11">
        <v>95.5</v>
      </c>
      <c r="F68" s="11">
        <v>85.85</v>
      </c>
      <c r="G68" s="11">
        <v>89.35</v>
      </c>
      <c r="H68" s="11">
        <v>92.65</v>
      </c>
      <c r="I68" s="7">
        <v>94.7</v>
      </c>
      <c r="J68" s="14">
        <f t="shared" si="1"/>
        <v>91.61</v>
      </c>
      <c r="K68" s="8">
        <v>132</v>
      </c>
      <c r="L68" s="8">
        <v>40</v>
      </c>
      <c r="M68" s="8">
        <v>70</v>
      </c>
      <c r="N68" s="14">
        <f>IF(ROUNDUP(IF(K68 &gt; 132, K68 / 40, K68 / 36), 0) &gt;= 7, 6, ROUNDUP(IF(K68 &gt; 132, K68 / 40, K68 / 36), 0))</f>
        <v>4</v>
      </c>
      <c r="O68" s="28">
        <f>L68*K68</f>
        <v>5280</v>
      </c>
      <c r="P68" s="28">
        <f>K68*M68</f>
        <v>9240</v>
      </c>
      <c r="Q68" s="7">
        <v>1</v>
      </c>
      <c r="R68" s="7">
        <v>2</v>
      </c>
      <c r="S68" s="7">
        <v>3</v>
      </c>
      <c r="T68" s="7">
        <v>2</v>
      </c>
      <c r="U68" s="30" t="s">
        <v>57</v>
      </c>
      <c r="V68" s="17">
        <v>1</v>
      </c>
    </row>
    <row r="69" spans="1:22">
      <c r="A69" s="2" t="s">
        <v>134</v>
      </c>
      <c r="B69" s="2" t="s">
        <v>135</v>
      </c>
      <c r="C69" s="30" t="s">
        <v>58</v>
      </c>
      <c r="D69" s="30" t="s">
        <v>59</v>
      </c>
      <c r="E69" s="11">
        <v>89.7</v>
      </c>
      <c r="F69" s="11">
        <v>80.900000000000006</v>
      </c>
      <c r="G69" s="11">
        <v>83.75</v>
      </c>
      <c r="H69" s="11">
        <v>88.95</v>
      </c>
      <c r="I69" s="7">
        <v>85.35</v>
      </c>
      <c r="J69" s="14">
        <f t="shared" si="1"/>
        <v>85.72999999999999</v>
      </c>
      <c r="K69" s="8">
        <v>132</v>
      </c>
      <c r="L69" s="8">
        <v>18</v>
      </c>
      <c r="M69" s="8">
        <v>40</v>
      </c>
      <c r="N69" s="14">
        <f>IF(ROUNDUP(IF(K69 &gt; 132, K69 / 40, K69 / 36), 0) &gt;= 7, 6, ROUNDUP(IF(K69 &gt; 132, K69 / 40, K69 / 36), 0))</f>
        <v>4</v>
      </c>
      <c r="O69" s="28">
        <f>L69*K69</f>
        <v>2376</v>
      </c>
      <c r="P69" s="28">
        <f>K69*M69</f>
        <v>5280</v>
      </c>
      <c r="Q69" s="7">
        <v>0</v>
      </c>
      <c r="R69" s="7">
        <v>1</v>
      </c>
      <c r="S69" s="7">
        <v>3</v>
      </c>
      <c r="T69" s="7">
        <v>1</v>
      </c>
      <c r="U69" s="30" t="s">
        <v>60</v>
      </c>
      <c r="V69" s="17">
        <v>1</v>
      </c>
    </row>
    <row r="70" spans="1:22">
      <c r="A70" s="2" t="s">
        <v>134</v>
      </c>
      <c r="B70" s="2" t="s">
        <v>135</v>
      </c>
      <c r="C70" s="30" t="s">
        <v>61</v>
      </c>
      <c r="D70" s="30" t="s">
        <v>59</v>
      </c>
      <c r="E70" s="11">
        <v>91.1</v>
      </c>
      <c r="F70" s="11">
        <v>81.900000000000006</v>
      </c>
      <c r="G70" s="11">
        <v>84.8</v>
      </c>
      <c r="H70" s="11">
        <v>89.35</v>
      </c>
      <c r="I70" s="7">
        <v>87.65</v>
      </c>
      <c r="J70" s="14">
        <f t="shared" si="1"/>
        <v>86.96</v>
      </c>
      <c r="K70" s="8">
        <v>132</v>
      </c>
      <c r="L70" s="8">
        <v>18</v>
      </c>
      <c r="M70" s="8">
        <v>40</v>
      </c>
      <c r="N70" s="14">
        <f>IF(ROUNDUP(IF(K70 &gt; 132, K70 / 40, K70 / 36), 0) &gt;= 7, 6, ROUNDUP(IF(K70 &gt; 132, K70 / 40, K70 / 36), 0))</f>
        <v>4</v>
      </c>
      <c r="O70" s="28">
        <f>L70*K70</f>
        <v>2376</v>
      </c>
      <c r="P70" s="28">
        <f>K70*M70</f>
        <v>5280</v>
      </c>
      <c r="Q70" s="7">
        <v>0</v>
      </c>
      <c r="R70" s="7">
        <v>1</v>
      </c>
      <c r="S70" s="7">
        <v>3</v>
      </c>
      <c r="T70" s="7">
        <v>0</v>
      </c>
      <c r="U70" s="30" t="s">
        <v>62</v>
      </c>
      <c r="V70" s="17">
        <v>1</v>
      </c>
    </row>
    <row r="71" spans="1:22">
      <c r="A71" s="2" t="s">
        <v>134</v>
      </c>
      <c r="B71" s="2" t="s">
        <v>135</v>
      </c>
      <c r="C71" s="30" t="s">
        <v>63</v>
      </c>
      <c r="D71" s="30" t="s">
        <v>59</v>
      </c>
      <c r="E71" s="11">
        <v>90</v>
      </c>
      <c r="F71" s="11">
        <v>79.7</v>
      </c>
      <c r="G71" s="11">
        <v>80.05</v>
      </c>
      <c r="H71" s="11">
        <v>86.4</v>
      </c>
      <c r="I71" s="7">
        <v>81.8</v>
      </c>
      <c r="J71" s="14">
        <f t="shared" si="1"/>
        <v>83.59</v>
      </c>
      <c r="K71" s="8">
        <v>132</v>
      </c>
      <c r="L71" s="8">
        <v>18</v>
      </c>
      <c r="M71" s="8">
        <v>40</v>
      </c>
      <c r="N71" s="14">
        <f>IF(ROUNDUP(IF(K71 &gt; 132, K71 / 40, K71 / 36), 0) &gt;= 7, 6, ROUNDUP(IF(K71 &gt; 132, K71 / 40, K71 / 36), 0))</f>
        <v>4</v>
      </c>
      <c r="O71" s="28">
        <f>L71*K71</f>
        <v>2376</v>
      </c>
      <c r="P71" s="28">
        <f>K71*M71</f>
        <v>5280</v>
      </c>
      <c r="Q71" s="7">
        <v>0</v>
      </c>
      <c r="R71" s="7">
        <v>1</v>
      </c>
      <c r="S71" s="7">
        <v>4</v>
      </c>
      <c r="T71" s="7">
        <v>1</v>
      </c>
      <c r="U71" s="30" t="s">
        <v>64</v>
      </c>
      <c r="V71" s="15">
        <v>1</v>
      </c>
    </row>
    <row r="72" spans="1:22">
      <c r="A72" s="2" t="s">
        <v>134</v>
      </c>
      <c r="B72" s="2" t="s">
        <v>135</v>
      </c>
      <c r="C72" s="30" t="s">
        <v>65</v>
      </c>
      <c r="D72" s="30" t="s">
        <v>59</v>
      </c>
      <c r="E72" s="11">
        <v>79.099999999999994</v>
      </c>
      <c r="F72" s="11">
        <v>69.650000000000006</v>
      </c>
      <c r="G72" s="11">
        <v>72.3</v>
      </c>
      <c r="H72" s="11">
        <v>78.599999999999994</v>
      </c>
      <c r="I72" s="7">
        <v>72.05</v>
      </c>
      <c r="J72" s="14">
        <f t="shared" si="1"/>
        <v>74.34</v>
      </c>
      <c r="K72" s="8">
        <v>132</v>
      </c>
      <c r="L72" s="8">
        <v>18</v>
      </c>
      <c r="M72" s="8">
        <v>40</v>
      </c>
      <c r="N72" s="14">
        <f>IF(ROUNDUP(IF(K72 &gt; 132, K72 / 40, K72 / 36), 0) &gt;= 7, 6, ROUNDUP(IF(K72 &gt; 132, K72 / 40, K72 / 36), 0))</f>
        <v>4</v>
      </c>
      <c r="O72" s="28">
        <f>L72*K72</f>
        <v>2376</v>
      </c>
      <c r="P72" s="28">
        <f>K72*M72</f>
        <v>5280</v>
      </c>
      <c r="Q72" s="7">
        <v>0</v>
      </c>
      <c r="R72" s="7">
        <v>2</v>
      </c>
      <c r="S72" s="7">
        <v>3</v>
      </c>
      <c r="T72" s="7">
        <v>0</v>
      </c>
      <c r="U72" s="30" t="s">
        <v>66</v>
      </c>
      <c r="V72" s="17">
        <v>1</v>
      </c>
    </row>
    <row r="73" spans="1:22">
      <c r="A73" s="2" t="s">
        <v>134</v>
      </c>
      <c r="B73" s="2" t="s">
        <v>135</v>
      </c>
      <c r="C73" s="30" t="s">
        <v>67</v>
      </c>
      <c r="D73" s="30" t="s">
        <v>59</v>
      </c>
      <c r="E73" s="11">
        <v>93.2</v>
      </c>
      <c r="F73" s="11">
        <v>81.599999999999994</v>
      </c>
      <c r="G73" s="11">
        <v>83.95</v>
      </c>
      <c r="H73" s="11">
        <v>88.6</v>
      </c>
      <c r="I73" s="7">
        <v>85.25</v>
      </c>
      <c r="J73" s="14">
        <f t="shared" si="1"/>
        <v>86.52000000000001</v>
      </c>
      <c r="K73" s="8">
        <v>132</v>
      </c>
      <c r="L73" s="8">
        <v>18</v>
      </c>
      <c r="M73" s="8">
        <v>40</v>
      </c>
      <c r="N73" s="14">
        <f>IF(ROUNDUP(IF(K73 &gt; 132, K73 / 40, K73 / 36), 0) &gt;= 7, 6, ROUNDUP(IF(K73 &gt; 132, K73 / 40, K73 / 36), 0))</f>
        <v>4</v>
      </c>
      <c r="O73" s="28">
        <f>L73*K73</f>
        <v>2376</v>
      </c>
      <c r="P73" s="28">
        <f>K73*M73</f>
        <v>5280</v>
      </c>
      <c r="Q73" s="7">
        <v>0</v>
      </c>
      <c r="R73" s="7">
        <v>0</v>
      </c>
      <c r="S73" s="7">
        <v>4</v>
      </c>
      <c r="T73" s="7">
        <v>1</v>
      </c>
      <c r="U73" s="30" t="s">
        <v>68</v>
      </c>
      <c r="V73" s="17">
        <v>1</v>
      </c>
    </row>
    <row r="74" spans="1:22">
      <c r="A74" s="2" t="s">
        <v>134</v>
      </c>
      <c r="B74" s="2" t="s">
        <v>135</v>
      </c>
      <c r="C74" s="30" t="s">
        <v>69</v>
      </c>
      <c r="D74" s="30" t="s">
        <v>59</v>
      </c>
      <c r="E74" s="11">
        <v>89.2</v>
      </c>
      <c r="F74" s="11">
        <v>81.7</v>
      </c>
      <c r="G74" s="11">
        <v>90.15</v>
      </c>
      <c r="H74" s="11">
        <v>94.55</v>
      </c>
      <c r="I74" s="12">
        <v>94</v>
      </c>
      <c r="J74" s="14">
        <f t="shared" si="1"/>
        <v>89.92</v>
      </c>
      <c r="K74" s="8">
        <v>132</v>
      </c>
      <c r="L74" s="8">
        <v>45</v>
      </c>
      <c r="M74" s="8">
        <v>80</v>
      </c>
      <c r="N74" s="14">
        <f>IF(ROUNDUP(IF(K74 &gt; 132, K74 / 40, K74 / 36), 0) &gt;= 7, 6, ROUNDUP(IF(K74 &gt; 132, K74 / 40, K74 / 36), 0))</f>
        <v>4</v>
      </c>
      <c r="O74" s="28">
        <f>L74*K74</f>
        <v>5940</v>
      </c>
      <c r="P74" s="28">
        <f>K74*M74</f>
        <v>10560</v>
      </c>
      <c r="Q74" s="14">
        <v>1</v>
      </c>
      <c r="R74" s="7">
        <v>2</v>
      </c>
      <c r="S74" s="7">
        <v>3</v>
      </c>
      <c r="T74" s="7">
        <v>2</v>
      </c>
      <c r="U74" s="30" t="s">
        <v>70</v>
      </c>
      <c r="V74" s="17">
        <v>1</v>
      </c>
    </row>
    <row r="75" spans="1:22">
      <c r="A75" s="30" t="s">
        <v>134</v>
      </c>
      <c r="B75" s="2" t="s">
        <v>135</v>
      </c>
      <c r="C75" s="30" t="s">
        <v>71</v>
      </c>
      <c r="D75" s="30" t="s">
        <v>59</v>
      </c>
      <c r="E75" s="7">
        <v>83</v>
      </c>
      <c r="F75" s="11">
        <v>83</v>
      </c>
      <c r="G75" s="11">
        <v>87.75</v>
      </c>
      <c r="H75" s="11">
        <v>93.2</v>
      </c>
      <c r="I75" s="7">
        <v>92.5</v>
      </c>
      <c r="J75" s="14">
        <f t="shared" si="1"/>
        <v>87.89</v>
      </c>
      <c r="K75" s="8">
        <v>132</v>
      </c>
      <c r="L75" s="8">
        <v>60</v>
      </c>
      <c r="M75" s="8">
        <v>80</v>
      </c>
      <c r="N75" s="14">
        <f>IF(ROUNDUP(IF(K75 &gt; 132, K75 / 40, K75 / 36), 0) &gt;= 7, 6, ROUNDUP(IF(K75 &gt; 132, K75 / 40, K75 / 36), 0))</f>
        <v>4</v>
      </c>
      <c r="O75" s="28">
        <f>L75*K75</f>
        <v>7920</v>
      </c>
      <c r="P75" s="28">
        <f>K75*M75</f>
        <v>10560</v>
      </c>
      <c r="Q75" s="14">
        <v>1</v>
      </c>
      <c r="R75" s="7">
        <v>3</v>
      </c>
      <c r="S75" s="7">
        <v>3</v>
      </c>
      <c r="T75" s="7">
        <v>2</v>
      </c>
      <c r="U75" s="30" t="s">
        <v>72</v>
      </c>
      <c r="V75" s="17">
        <v>1</v>
      </c>
    </row>
    <row r="76" spans="1:22">
      <c r="A76" s="2" t="s">
        <v>134</v>
      </c>
      <c r="B76" s="2" t="s">
        <v>135</v>
      </c>
      <c r="C76" s="30" t="s">
        <v>73</v>
      </c>
      <c r="D76" s="30" t="s">
        <v>59</v>
      </c>
      <c r="E76" s="7">
        <v>83</v>
      </c>
      <c r="F76" s="11">
        <v>83</v>
      </c>
      <c r="G76" s="11">
        <v>87.75</v>
      </c>
      <c r="H76" s="11">
        <v>93.2</v>
      </c>
      <c r="I76" s="7">
        <v>92.5</v>
      </c>
      <c r="J76" s="14">
        <f t="shared" si="1"/>
        <v>87.89</v>
      </c>
      <c r="K76" s="8">
        <v>132</v>
      </c>
      <c r="L76" s="8">
        <v>60</v>
      </c>
      <c r="M76" s="8">
        <v>80</v>
      </c>
      <c r="N76" s="14">
        <f>IF(ROUNDUP(IF(K76 &gt; 132, K76 / 40, K76 / 36), 0) &gt;= 7, 6, ROUNDUP(IF(K76 &gt; 132, K76 / 40, K76 / 36), 0))</f>
        <v>4</v>
      </c>
      <c r="O76" s="28">
        <f>L76*K76</f>
        <v>7920</v>
      </c>
      <c r="P76" s="28">
        <f>K76*M76</f>
        <v>10560</v>
      </c>
      <c r="Q76" s="14">
        <v>1</v>
      </c>
      <c r="R76" s="7">
        <v>3</v>
      </c>
      <c r="S76" s="7">
        <v>3</v>
      </c>
      <c r="T76" s="7">
        <v>2</v>
      </c>
      <c r="U76" s="30" t="s">
        <v>74</v>
      </c>
      <c r="V76" s="17">
        <v>1</v>
      </c>
    </row>
    <row r="77" spans="1:22">
      <c r="A77" s="2" t="s">
        <v>134</v>
      </c>
      <c r="B77" s="2" t="s">
        <v>135</v>
      </c>
      <c r="C77" s="30" t="s">
        <v>75</v>
      </c>
      <c r="D77" s="30" t="s">
        <v>59</v>
      </c>
      <c r="E77" s="7">
        <v>84.9</v>
      </c>
      <c r="F77" s="11">
        <v>84.9</v>
      </c>
      <c r="G77" s="11">
        <v>89.3</v>
      </c>
      <c r="H77" s="11">
        <v>92.95</v>
      </c>
      <c r="I77" s="7">
        <v>90.7</v>
      </c>
      <c r="J77" s="14">
        <f t="shared" si="1"/>
        <v>88.55</v>
      </c>
      <c r="K77" s="8">
        <v>132</v>
      </c>
      <c r="L77" s="8">
        <v>60</v>
      </c>
      <c r="M77" s="8">
        <v>80</v>
      </c>
      <c r="N77" s="14">
        <f>IF(ROUNDUP(IF(K77 &gt; 132, K77 / 40, K77 / 36), 0) &gt;= 7, 6, ROUNDUP(IF(K77 &gt; 132, K77 / 40, K77 / 36), 0))</f>
        <v>4</v>
      </c>
      <c r="O77" s="28">
        <f>L77*K77</f>
        <v>7920</v>
      </c>
      <c r="P77" s="28">
        <f>K77*M77</f>
        <v>10560</v>
      </c>
      <c r="Q77" s="14">
        <v>1</v>
      </c>
      <c r="R77" s="7">
        <v>3</v>
      </c>
      <c r="S77" s="7">
        <v>3</v>
      </c>
      <c r="T77" s="7">
        <v>2</v>
      </c>
      <c r="U77" s="30" t="s">
        <v>76</v>
      </c>
      <c r="V77" s="17">
        <v>1</v>
      </c>
    </row>
    <row r="78" spans="1:22">
      <c r="A78" s="2" t="s">
        <v>134</v>
      </c>
      <c r="B78" s="2" t="s">
        <v>135</v>
      </c>
      <c r="C78" s="30" t="s">
        <v>77</v>
      </c>
      <c r="D78" s="30" t="s">
        <v>59</v>
      </c>
      <c r="E78" s="11">
        <v>89.5</v>
      </c>
      <c r="F78" s="11">
        <v>83.05</v>
      </c>
      <c r="G78" s="11">
        <v>89.15</v>
      </c>
      <c r="H78" s="11">
        <v>93.1</v>
      </c>
      <c r="I78" s="7">
        <v>91.7</v>
      </c>
      <c r="J78" s="14">
        <f t="shared" si="1"/>
        <v>89.300000000000011</v>
      </c>
      <c r="K78" s="8">
        <v>132</v>
      </c>
      <c r="L78" s="8">
        <v>45</v>
      </c>
      <c r="M78" s="8">
        <v>75</v>
      </c>
      <c r="N78" s="14">
        <f>IF(ROUNDUP(IF(K78 &gt; 132, K78 / 40, K78 / 36), 0) &gt;= 7, 6, ROUNDUP(IF(K78 &gt; 132, K78 / 40, K78 / 36), 0))</f>
        <v>4</v>
      </c>
      <c r="O78" s="28">
        <f>L78*K78</f>
        <v>5940</v>
      </c>
      <c r="P78" s="28">
        <f>K78*M78</f>
        <v>9900</v>
      </c>
      <c r="Q78" s="14">
        <v>1</v>
      </c>
      <c r="R78" s="7">
        <v>3</v>
      </c>
      <c r="S78" s="7">
        <v>2</v>
      </c>
      <c r="T78" s="7">
        <v>2</v>
      </c>
      <c r="U78" s="30" t="s">
        <v>78</v>
      </c>
      <c r="V78" s="15">
        <v>1</v>
      </c>
    </row>
    <row r="79" spans="1:22">
      <c r="A79" s="2" t="s">
        <v>134</v>
      </c>
      <c r="B79" s="2" t="s">
        <v>135</v>
      </c>
      <c r="C79" s="30" t="s">
        <v>79</v>
      </c>
      <c r="D79" s="30" t="s">
        <v>59</v>
      </c>
      <c r="E79" s="11">
        <v>85</v>
      </c>
      <c r="F79" s="11">
        <v>80.7</v>
      </c>
      <c r="G79" s="11">
        <v>86.2</v>
      </c>
      <c r="H79" s="11">
        <v>91.6</v>
      </c>
      <c r="I79" s="7">
        <v>89.6</v>
      </c>
      <c r="J79" s="14">
        <f t="shared" si="1"/>
        <v>86.62</v>
      </c>
      <c r="K79" s="8">
        <v>132</v>
      </c>
      <c r="L79" s="8">
        <v>45</v>
      </c>
      <c r="M79" s="8">
        <v>70</v>
      </c>
      <c r="N79" s="14">
        <f>IF(ROUNDUP(IF(K79 &gt; 132, K79 / 40, K79 / 36), 0) &gt;= 7, 6, ROUNDUP(IF(K79 &gt; 132, K79 / 40, K79 / 36), 0))</f>
        <v>4</v>
      </c>
      <c r="O79" s="28">
        <f>L79*K79</f>
        <v>5940</v>
      </c>
      <c r="P79" s="28">
        <f>K79*M79</f>
        <v>9240</v>
      </c>
      <c r="Q79" s="7">
        <v>1</v>
      </c>
      <c r="R79" s="7">
        <v>2</v>
      </c>
      <c r="S79" s="7">
        <v>2</v>
      </c>
      <c r="T79" s="7">
        <v>2</v>
      </c>
      <c r="U79" s="30" t="s">
        <v>80</v>
      </c>
      <c r="V79" s="17">
        <v>1</v>
      </c>
    </row>
    <row r="80" spans="1:22">
      <c r="A80" s="2" t="s">
        <v>134</v>
      </c>
      <c r="B80" s="2" t="s">
        <v>135</v>
      </c>
      <c r="C80" s="30" t="s">
        <v>85</v>
      </c>
      <c r="D80" s="30" t="s">
        <v>59</v>
      </c>
      <c r="E80" s="11">
        <v>92.7</v>
      </c>
      <c r="F80" s="11">
        <v>84.7</v>
      </c>
      <c r="G80" s="11">
        <v>86.75</v>
      </c>
      <c r="H80" s="11">
        <v>90.85</v>
      </c>
      <c r="I80" s="7">
        <v>87.3</v>
      </c>
      <c r="J80" s="14">
        <f t="shared" si="1"/>
        <v>88.460000000000008</v>
      </c>
      <c r="K80" s="8">
        <v>132</v>
      </c>
      <c r="L80" s="8">
        <v>30</v>
      </c>
      <c r="M80" s="8">
        <v>55</v>
      </c>
      <c r="N80" s="14">
        <f>IF(ROUNDUP(IF(K80 &gt; 132, K80 / 40, K80 / 36), 0) &gt;= 7, 6, ROUNDUP(IF(K80 &gt; 132, K80 / 40, K80 / 36), 0))</f>
        <v>4</v>
      </c>
      <c r="O80" s="28">
        <f>L80*K80</f>
        <v>3960</v>
      </c>
      <c r="P80" s="28">
        <f>K80*M80</f>
        <v>7260</v>
      </c>
      <c r="Q80" s="7">
        <v>1</v>
      </c>
      <c r="R80" s="7">
        <v>3</v>
      </c>
      <c r="S80" s="7">
        <v>2</v>
      </c>
      <c r="T80" s="7">
        <v>1</v>
      </c>
      <c r="U80" s="30" t="s">
        <v>86</v>
      </c>
      <c r="V80" s="17">
        <v>1</v>
      </c>
    </row>
    <row r="81" spans="1:22">
      <c r="A81" s="2" t="s">
        <v>134</v>
      </c>
      <c r="B81" s="2" t="s">
        <v>135</v>
      </c>
      <c r="C81" s="30" t="s">
        <v>87</v>
      </c>
      <c r="D81" s="1" t="s">
        <v>88</v>
      </c>
      <c r="E81" s="11">
        <v>91.9</v>
      </c>
      <c r="F81" s="11">
        <v>92.3</v>
      </c>
      <c r="G81" s="11">
        <v>91.9</v>
      </c>
      <c r="H81" s="11">
        <v>92.8</v>
      </c>
      <c r="I81" s="7">
        <v>89.7</v>
      </c>
      <c r="J81" s="14">
        <f t="shared" si="1"/>
        <v>91.72</v>
      </c>
      <c r="K81" s="8">
        <v>132</v>
      </c>
      <c r="L81" s="8">
        <v>16</v>
      </c>
      <c r="M81" s="8">
        <v>40</v>
      </c>
      <c r="N81" s="14">
        <f>IF(ROUNDUP(IF(K81 &gt; 132, K81 / 40, K81 / 36), 0) &gt;= 7, 6, ROUNDUP(IF(K81 &gt; 132, K81 / 40, K81 / 36), 0))</f>
        <v>4</v>
      </c>
      <c r="O81" s="28">
        <f>L81*K81</f>
        <v>2112</v>
      </c>
      <c r="P81" s="28">
        <f>K81*M81</f>
        <v>5280</v>
      </c>
      <c r="Q81" s="7">
        <v>0</v>
      </c>
      <c r="R81" s="7">
        <v>0</v>
      </c>
      <c r="S81" s="7">
        <v>2</v>
      </c>
      <c r="T81" s="7">
        <v>1</v>
      </c>
      <c r="U81" s="30" t="s">
        <v>89</v>
      </c>
      <c r="V81" s="17">
        <v>1</v>
      </c>
    </row>
    <row r="82" spans="1:22">
      <c r="A82" s="2" t="s">
        <v>134</v>
      </c>
      <c r="B82" s="2" t="s">
        <v>135</v>
      </c>
      <c r="C82" s="30" t="s">
        <v>90</v>
      </c>
      <c r="D82" s="2" t="s">
        <v>88</v>
      </c>
      <c r="E82" s="11">
        <v>95</v>
      </c>
      <c r="F82" s="11">
        <v>89.95</v>
      </c>
      <c r="G82" s="11">
        <v>94.6</v>
      </c>
      <c r="H82" s="11">
        <v>95.4</v>
      </c>
      <c r="I82" s="7">
        <v>93.3</v>
      </c>
      <c r="J82" s="14">
        <f t="shared" si="1"/>
        <v>93.649999999999991</v>
      </c>
      <c r="K82" s="8">
        <v>132</v>
      </c>
      <c r="L82" s="8">
        <v>16</v>
      </c>
      <c r="M82" s="8">
        <v>60</v>
      </c>
      <c r="N82" s="14">
        <f>IF(ROUNDUP(IF(K82 &gt; 132, K82 / 40, K82 / 36), 0) &gt;= 7, 6, ROUNDUP(IF(K82 &gt; 132, K82 / 40, K82 / 36), 0))</f>
        <v>4</v>
      </c>
      <c r="O82" s="28">
        <f>L82*K82</f>
        <v>2112</v>
      </c>
      <c r="P82" s="28">
        <f>K82*M82</f>
        <v>7920</v>
      </c>
      <c r="Q82" s="7">
        <v>0</v>
      </c>
      <c r="R82" s="7">
        <v>0</v>
      </c>
      <c r="S82" s="7">
        <v>2</v>
      </c>
      <c r="T82" s="7">
        <v>1</v>
      </c>
      <c r="U82" s="30" t="s">
        <v>91</v>
      </c>
      <c r="V82" s="17">
        <v>1</v>
      </c>
    </row>
    <row r="83" spans="1:22">
      <c r="A83" s="2" t="s">
        <v>134</v>
      </c>
      <c r="B83" s="2" t="s">
        <v>135</v>
      </c>
      <c r="C83" s="30" t="s">
        <v>94</v>
      </c>
      <c r="D83" s="2" t="s">
        <v>88</v>
      </c>
      <c r="E83" s="9">
        <v>95</v>
      </c>
      <c r="F83" s="9">
        <v>89.95</v>
      </c>
      <c r="G83" s="9">
        <v>94.6</v>
      </c>
      <c r="H83" s="9">
        <v>95.4</v>
      </c>
      <c r="I83" s="7">
        <v>95.5</v>
      </c>
      <c r="J83" s="14">
        <f t="shared" si="1"/>
        <v>94.089999999999989</v>
      </c>
      <c r="K83" s="8">
        <v>132</v>
      </c>
      <c r="L83" s="8">
        <v>16</v>
      </c>
      <c r="M83" s="8">
        <v>60</v>
      </c>
      <c r="N83" s="14">
        <f>IF(ROUNDUP(IF(K83 &gt; 132, K83 / 40, K83 / 36), 0) &gt;= 7, 6, ROUNDUP(IF(K83 &gt; 132, K83 / 40, K83 / 36), 0))</f>
        <v>4</v>
      </c>
      <c r="O83" s="28">
        <f>L83*K83</f>
        <v>2112</v>
      </c>
      <c r="P83" s="28">
        <f>K83*M83</f>
        <v>7920</v>
      </c>
      <c r="Q83" s="7">
        <v>1</v>
      </c>
      <c r="R83" s="7">
        <v>2</v>
      </c>
      <c r="S83" s="7">
        <v>2</v>
      </c>
      <c r="T83" s="7">
        <v>0</v>
      </c>
      <c r="U83" s="30" t="s">
        <v>95</v>
      </c>
      <c r="V83" s="17">
        <v>1</v>
      </c>
    </row>
    <row r="84" spans="1:22">
      <c r="A84" s="2" t="s">
        <v>134</v>
      </c>
      <c r="B84" s="2" t="s">
        <v>135</v>
      </c>
      <c r="C84" s="1" t="s">
        <v>100</v>
      </c>
      <c r="D84" s="2" t="s">
        <v>88</v>
      </c>
      <c r="E84" s="11">
        <v>86.3</v>
      </c>
      <c r="F84" s="11">
        <v>83.1</v>
      </c>
      <c r="G84" s="11">
        <v>84.85</v>
      </c>
      <c r="H84" s="11">
        <v>91.5</v>
      </c>
      <c r="I84" s="7">
        <v>88.5</v>
      </c>
      <c r="J84" s="14">
        <f t="shared" si="1"/>
        <v>86.85</v>
      </c>
      <c r="K84" s="8">
        <v>132</v>
      </c>
      <c r="L84" s="8">
        <v>30</v>
      </c>
      <c r="M84" s="8">
        <v>50</v>
      </c>
      <c r="N84" s="14">
        <f>IF(ROUNDUP(IF(K84 &gt; 132, K84 / 40, K84 / 36), 0) &gt;= 7, 6, ROUNDUP(IF(K84 &gt; 132, K84 / 40, K84 / 36), 0))</f>
        <v>4</v>
      </c>
      <c r="O84" s="28">
        <f>L84*K84</f>
        <v>3960</v>
      </c>
      <c r="P84" s="28">
        <f>K84*M84</f>
        <v>6600</v>
      </c>
      <c r="Q84" s="7">
        <v>1</v>
      </c>
      <c r="R84" s="7">
        <v>2</v>
      </c>
      <c r="S84" s="7">
        <v>3</v>
      </c>
      <c r="T84" s="7">
        <v>2</v>
      </c>
      <c r="U84" s="30" t="s">
        <v>101</v>
      </c>
      <c r="V84" s="17">
        <v>1</v>
      </c>
    </row>
    <row r="85" spans="1:22">
      <c r="A85" s="2" t="s">
        <v>134</v>
      </c>
      <c r="B85" s="2" t="s">
        <v>135</v>
      </c>
      <c r="C85" s="1" t="s">
        <v>104</v>
      </c>
      <c r="D85" s="2" t="s">
        <v>88</v>
      </c>
      <c r="E85" s="11">
        <v>89.9</v>
      </c>
      <c r="F85" s="11">
        <v>83.4</v>
      </c>
      <c r="G85" s="11">
        <v>86.5</v>
      </c>
      <c r="H85" s="11">
        <v>91.45</v>
      </c>
      <c r="I85" s="7">
        <v>88.45</v>
      </c>
      <c r="J85" s="14">
        <f t="shared" si="1"/>
        <v>87.94</v>
      </c>
      <c r="K85" s="8">
        <v>132</v>
      </c>
      <c r="L85" s="8">
        <v>30</v>
      </c>
      <c r="M85" s="8">
        <v>40</v>
      </c>
      <c r="N85" s="14">
        <f>IF(ROUNDUP(IF(K85 &gt; 132, K85 / 40, K85 / 36), 0) &gt;= 7, 6, ROUNDUP(IF(K85 &gt; 132, K85 / 40, K85 / 36), 0))</f>
        <v>4</v>
      </c>
      <c r="O85" s="28">
        <f>L85*K85</f>
        <v>3960</v>
      </c>
      <c r="P85" s="28">
        <f>K85*M85</f>
        <v>5280</v>
      </c>
      <c r="Q85" s="17">
        <v>1</v>
      </c>
      <c r="R85" s="7">
        <v>2</v>
      </c>
      <c r="S85" s="7">
        <v>3</v>
      </c>
      <c r="T85" s="7">
        <v>2</v>
      </c>
      <c r="U85" s="30" t="s">
        <v>105</v>
      </c>
      <c r="V85" s="17">
        <v>1</v>
      </c>
    </row>
    <row r="86" spans="1:22">
      <c r="A86" s="2" t="s">
        <v>134</v>
      </c>
      <c r="B86" s="2" t="s">
        <v>135</v>
      </c>
      <c r="C86" s="1" t="s">
        <v>108</v>
      </c>
      <c r="D86" s="2" t="s">
        <v>88</v>
      </c>
      <c r="E86" s="11">
        <v>66.400000000000006</v>
      </c>
      <c r="F86" s="11">
        <v>65</v>
      </c>
      <c r="G86" s="11">
        <v>65.05</v>
      </c>
      <c r="H86" s="11">
        <v>66.900000000000006</v>
      </c>
      <c r="I86" s="11">
        <v>66.7</v>
      </c>
      <c r="J86" s="14">
        <f t="shared" si="1"/>
        <v>66.010000000000005</v>
      </c>
      <c r="K86" s="8">
        <v>132</v>
      </c>
      <c r="L86" s="8">
        <v>15</v>
      </c>
      <c r="M86" s="8">
        <v>40</v>
      </c>
      <c r="N86" s="14">
        <f>IF(ROUNDUP(IF(K86 &gt; 132, K86 / 40, K86 / 36), 0) &gt;= 7, 6, ROUNDUP(IF(K86 &gt; 132, K86 / 40, K86 / 36), 0))</f>
        <v>4</v>
      </c>
      <c r="O86" s="28">
        <f>L86*K86</f>
        <v>1980</v>
      </c>
      <c r="P86" s="28">
        <f>K86*M86</f>
        <v>5280</v>
      </c>
      <c r="Q86" s="17">
        <v>1</v>
      </c>
      <c r="R86" s="7">
        <v>2</v>
      </c>
      <c r="S86" s="7">
        <v>2</v>
      </c>
      <c r="T86" s="7">
        <v>0</v>
      </c>
      <c r="U86" s="30" t="s">
        <v>109</v>
      </c>
      <c r="V86" s="17">
        <v>1</v>
      </c>
    </row>
    <row r="87" spans="1:22">
      <c r="A87" s="2" t="s">
        <v>134</v>
      </c>
      <c r="B87" s="2" t="s">
        <v>135</v>
      </c>
      <c r="C87" s="1" t="s">
        <v>110</v>
      </c>
      <c r="D87" s="2" t="s">
        <v>88</v>
      </c>
      <c r="E87" s="11">
        <v>84.2</v>
      </c>
      <c r="F87" s="11">
        <v>79.400000000000006</v>
      </c>
      <c r="G87" s="11">
        <v>82.9</v>
      </c>
      <c r="H87" s="11">
        <v>89.65</v>
      </c>
      <c r="I87" s="7">
        <v>85.3</v>
      </c>
      <c r="J87" s="14">
        <f t="shared" si="1"/>
        <v>84.29</v>
      </c>
      <c r="K87" s="8">
        <v>132</v>
      </c>
      <c r="L87" s="8">
        <v>15</v>
      </c>
      <c r="M87" s="8">
        <v>40</v>
      </c>
      <c r="N87" s="14">
        <f>IF(ROUNDUP(IF(K87 &gt; 132, K87 / 40, K87 / 36), 0) &gt;= 7, 6, ROUNDUP(IF(K87 &gt; 132, K87 / 40, K87 / 36), 0))</f>
        <v>4</v>
      </c>
      <c r="O87" s="28">
        <f>L87*K87</f>
        <v>1980</v>
      </c>
      <c r="P87" s="28">
        <f>K87*M87</f>
        <v>5280</v>
      </c>
      <c r="Q87" s="15">
        <v>1</v>
      </c>
      <c r="R87" s="7">
        <v>2</v>
      </c>
      <c r="S87" s="7">
        <v>2</v>
      </c>
      <c r="T87" s="7">
        <v>1</v>
      </c>
      <c r="U87" s="30" t="s">
        <v>111</v>
      </c>
      <c r="V87" s="17">
        <v>1</v>
      </c>
    </row>
    <row r="88" spans="1:22">
      <c r="A88" s="2" t="s">
        <v>134</v>
      </c>
      <c r="B88" s="2" t="s">
        <v>135</v>
      </c>
      <c r="C88" s="1" t="s">
        <v>119</v>
      </c>
      <c r="D88" s="30" t="s">
        <v>120</v>
      </c>
      <c r="E88" s="11">
        <v>91.5</v>
      </c>
      <c r="F88" s="11">
        <v>83.75</v>
      </c>
      <c r="G88" s="11">
        <v>90.5</v>
      </c>
      <c r="H88" s="11">
        <v>93.45</v>
      </c>
      <c r="I88" s="7">
        <v>91.5</v>
      </c>
      <c r="J88" s="14">
        <f t="shared" si="1"/>
        <v>90.14</v>
      </c>
      <c r="K88" s="8">
        <v>132</v>
      </c>
      <c r="L88" s="8">
        <v>16</v>
      </c>
      <c r="M88" s="8">
        <v>60</v>
      </c>
      <c r="N88" s="14">
        <f>IF(ROUNDUP(IF(K88 &gt; 132, K88 / 40, K88 / 36), 0) &gt;= 7, 6, ROUNDUP(IF(K88 &gt; 132, K88 / 40, K88 / 36), 0))</f>
        <v>4</v>
      </c>
      <c r="O88" s="28">
        <f>L88*K88</f>
        <v>2112</v>
      </c>
      <c r="P88" s="28">
        <f>K88*M88</f>
        <v>7920</v>
      </c>
      <c r="Q88" s="17">
        <v>1</v>
      </c>
      <c r="R88" s="7">
        <v>2</v>
      </c>
      <c r="S88" s="7">
        <v>2</v>
      </c>
      <c r="T88" s="7">
        <v>1</v>
      </c>
      <c r="U88" s="30" t="s">
        <v>121</v>
      </c>
      <c r="V88" s="15">
        <v>1</v>
      </c>
    </row>
    <row r="89" spans="1:22">
      <c r="A89" s="2" t="s">
        <v>134</v>
      </c>
      <c r="B89" s="2" t="s">
        <v>135</v>
      </c>
      <c r="C89" s="1" t="s">
        <v>122</v>
      </c>
      <c r="D89" s="2" t="s">
        <v>120</v>
      </c>
      <c r="E89" s="11">
        <v>92.9</v>
      </c>
      <c r="F89" s="11">
        <v>87.3</v>
      </c>
      <c r="G89" s="11">
        <v>92.25</v>
      </c>
      <c r="H89" s="11">
        <v>95.65</v>
      </c>
      <c r="I89" s="7">
        <v>89.5</v>
      </c>
      <c r="J89" s="14">
        <f t="shared" si="1"/>
        <v>91.52000000000001</v>
      </c>
      <c r="K89" s="8">
        <v>132</v>
      </c>
      <c r="L89" s="8">
        <v>16</v>
      </c>
      <c r="M89" s="8">
        <v>60</v>
      </c>
      <c r="N89" s="14">
        <f>IF(ROUNDUP(IF(K89 &gt; 132, K89 / 40, K89 / 36), 0) &gt;= 7, 6, ROUNDUP(IF(K89 &gt; 132, K89 / 40, K89 / 36), 0))</f>
        <v>4</v>
      </c>
      <c r="O89" s="28">
        <f>L89*K89</f>
        <v>2112</v>
      </c>
      <c r="P89" s="28">
        <f>K89*M89</f>
        <v>7920</v>
      </c>
      <c r="Q89" s="17">
        <v>1</v>
      </c>
      <c r="R89" s="7">
        <v>2</v>
      </c>
      <c r="S89" s="7">
        <v>3</v>
      </c>
      <c r="T89" s="7">
        <v>1</v>
      </c>
      <c r="U89" s="30" t="s">
        <v>123</v>
      </c>
      <c r="V89" s="17">
        <v>1</v>
      </c>
    </row>
    <row r="90" spans="1:22">
      <c r="A90" s="2" t="s">
        <v>134</v>
      </c>
      <c r="B90" s="2" t="s">
        <v>135</v>
      </c>
      <c r="C90" s="1" t="s">
        <v>126</v>
      </c>
      <c r="D90" s="2" t="s">
        <v>120</v>
      </c>
      <c r="E90" s="12">
        <v>94.05</v>
      </c>
      <c r="F90" s="12">
        <v>94.05</v>
      </c>
      <c r="G90" s="12">
        <v>94.05</v>
      </c>
      <c r="H90" s="12">
        <v>94.05</v>
      </c>
      <c r="I90" s="7">
        <v>94.2</v>
      </c>
      <c r="J90" s="14">
        <f t="shared" si="1"/>
        <v>94.08</v>
      </c>
      <c r="K90" s="8">
        <v>132</v>
      </c>
      <c r="L90" s="8">
        <v>40</v>
      </c>
      <c r="M90" s="8">
        <v>60</v>
      </c>
      <c r="N90" s="14">
        <f>IF(ROUNDUP(IF(K90 &gt; 132, K90 / 40, K90 / 36), 0) &gt;= 7, 6, ROUNDUP(IF(K90 &gt; 132, K90 / 40, K90 / 36), 0))</f>
        <v>4</v>
      </c>
      <c r="O90" s="28">
        <f>L90*K90</f>
        <v>5280</v>
      </c>
      <c r="P90" s="28">
        <f>K90*M90</f>
        <v>7920</v>
      </c>
      <c r="Q90" s="17">
        <v>1</v>
      </c>
      <c r="R90" s="7">
        <v>2</v>
      </c>
      <c r="S90" s="7">
        <v>2</v>
      </c>
      <c r="T90" s="7">
        <v>2</v>
      </c>
      <c r="U90" s="30" t="s">
        <v>127</v>
      </c>
      <c r="V90" s="17">
        <v>1</v>
      </c>
    </row>
    <row r="91" spans="1:22">
      <c r="A91" s="2" t="s">
        <v>134</v>
      </c>
      <c r="B91" s="2" t="s">
        <v>135</v>
      </c>
      <c r="C91" s="1" t="s">
        <v>128</v>
      </c>
      <c r="D91" s="2" t="s">
        <v>120</v>
      </c>
      <c r="E91" s="11">
        <v>90.5</v>
      </c>
      <c r="F91" s="11">
        <v>85.9</v>
      </c>
      <c r="G91" s="11">
        <v>90.15</v>
      </c>
      <c r="H91" s="11">
        <v>93.7</v>
      </c>
      <c r="I91" s="7">
        <v>91.5</v>
      </c>
      <c r="J91" s="14">
        <f t="shared" si="1"/>
        <v>90.35</v>
      </c>
      <c r="K91" s="8">
        <v>132</v>
      </c>
      <c r="L91" s="8">
        <v>20</v>
      </c>
      <c r="M91" s="8">
        <v>60</v>
      </c>
      <c r="N91" s="14">
        <f>IF(ROUNDUP(IF(K91 &gt; 132, K91 / 40, K91 / 36), 0) &gt;= 7, 6, ROUNDUP(IF(K91 &gt; 132, K91 / 40, K91 / 36), 0))</f>
        <v>4</v>
      </c>
      <c r="O91" s="28">
        <f>L91*K91</f>
        <v>2640</v>
      </c>
      <c r="P91" s="28">
        <f>K91*M91</f>
        <v>7920</v>
      </c>
      <c r="Q91" s="17">
        <v>1</v>
      </c>
      <c r="R91" s="7">
        <v>2</v>
      </c>
      <c r="S91" s="7">
        <v>3</v>
      </c>
      <c r="T91" s="7">
        <v>2</v>
      </c>
      <c r="U91" s="30" t="s">
        <v>129</v>
      </c>
      <c r="V91" s="17">
        <v>1</v>
      </c>
    </row>
    <row r="92" spans="1:22">
      <c r="A92" s="1" t="s">
        <v>136</v>
      </c>
      <c r="B92" s="2" t="s">
        <v>137</v>
      </c>
      <c r="C92" s="27" t="s">
        <v>24</v>
      </c>
      <c r="D92" s="27" t="s">
        <v>25</v>
      </c>
      <c r="E92" s="15">
        <v>98.6</v>
      </c>
      <c r="F92" s="15">
        <v>94.6</v>
      </c>
      <c r="G92" s="15">
        <v>95.55</v>
      </c>
      <c r="H92" s="15">
        <v>97</v>
      </c>
      <c r="I92" s="7">
        <v>97.1</v>
      </c>
      <c r="J92" s="14">
        <f t="shared" si="1"/>
        <v>96.570000000000007</v>
      </c>
      <c r="K92" s="28">
        <v>257</v>
      </c>
      <c r="L92" s="8">
        <v>100</v>
      </c>
      <c r="M92" s="8">
        <v>200</v>
      </c>
      <c r="N92" s="14">
        <f>IF(ROUNDUP(IF(K92 &gt; 132, K92 / 40, K92 / 36), 0) &gt;= 7, 6, ROUNDUP(IF(K92 &gt; 132, K92 / 40, K92 / 36), 0))</f>
        <v>6</v>
      </c>
      <c r="O92" s="28">
        <f>L92*K92</f>
        <v>25700</v>
      </c>
      <c r="P92" s="28">
        <f>K92*M92</f>
        <v>51400</v>
      </c>
      <c r="Q92" s="17">
        <v>1</v>
      </c>
      <c r="R92" s="7">
        <v>3</v>
      </c>
      <c r="S92" s="14">
        <v>4</v>
      </c>
      <c r="T92" s="29">
        <v>1</v>
      </c>
      <c r="U92" s="27" t="s">
        <v>26</v>
      </c>
      <c r="V92" s="17">
        <v>1</v>
      </c>
    </row>
    <row r="93" spans="1:22">
      <c r="A93" s="1" t="s">
        <v>136</v>
      </c>
      <c r="B93" s="2" t="s">
        <v>137</v>
      </c>
      <c r="C93" s="27" t="s">
        <v>29</v>
      </c>
      <c r="D93" s="27" t="s">
        <v>25</v>
      </c>
      <c r="E93" s="15">
        <v>97.3</v>
      </c>
      <c r="F93" s="15">
        <v>92.3</v>
      </c>
      <c r="G93" s="15">
        <v>94.05</v>
      </c>
      <c r="H93" s="15">
        <v>94.6</v>
      </c>
      <c r="I93" s="7">
        <v>93.9</v>
      </c>
      <c r="J93" s="14">
        <f t="shared" si="1"/>
        <v>94.429999999999993</v>
      </c>
      <c r="K93" s="28">
        <v>198</v>
      </c>
      <c r="L93" s="8">
        <v>60</v>
      </c>
      <c r="M93" s="8">
        <v>90</v>
      </c>
      <c r="N93" s="14">
        <f>IF(ROUNDUP(IF(K93 &gt; 132, K93 / 40, K93 / 36), 0) &gt;= 7, 6, ROUNDUP(IF(K93 &gt; 132, K93 / 40, K93 / 36), 0))</f>
        <v>5</v>
      </c>
      <c r="O93" s="28">
        <f>L93*K93</f>
        <v>11880</v>
      </c>
      <c r="P93" s="28">
        <f>K93*M93</f>
        <v>17820</v>
      </c>
      <c r="Q93" s="17">
        <v>1</v>
      </c>
      <c r="R93" s="7">
        <v>3</v>
      </c>
      <c r="S93" s="14">
        <v>3</v>
      </c>
      <c r="T93" s="29">
        <v>1</v>
      </c>
      <c r="U93" s="27" t="s">
        <v>30</v>
      </c>
      <c r="V93" s="17">
        <v>1</v>
      </c>
    </row>
    <row r="94" spans="1:22">
      <c r="A94" s="1" t="s">
        <v>136</v>
      </c>
      <c r="B94" s="2" t="s">
        <v>137</v>
      </c>
      <c r="C94" s="27" t="s">
        <v>31</v>
      </c>
      <c r="D94" s="27" t="s">
        <v>25</v>
      </c>
      <c r="E94" s="15">
        <v>89</v>
      </c>
      <c r="F94" s="15">
        <v>88</v>
      </c>
      <c r="G94" s="15">
        <v>90.2</v>
      </c>
      <c r="H94" s="15">
        <v>92.15</v>
      </c>
      <c r="I94" s="7">
        <v>85.7</v>
      </c>
      <c r="J94" s="14">
        <f t="shared" si="1"/>
        <v>89.01</v>
      </c>
      <c r="K94" s="28">
        <v>165</v>
      </c>
      <c r="L94" s="8">
        <v>70</v>
      </c>
      <c r="M94" s="8">
        <v>90</v>
      </c>
      <c r="N94" s="14">
        <f>IF(ROUNDUP(IF(K94 &gt; 132, K94 / 40, K94 / 36), 0) &gt;= 7, 6, ROUNDUP(IF(K94 &gt; 132, K94 / 40, K94 / 36), 0))</f>
        <v>5</v>
      </c>
      <c r="O94" s="28">
        <f>L94*K94</f>
        <v>11550</v>
      </c>
      <c r="P94" s="28">
        <f>K94*M94</f>
        <v>14850</v>
      </c>
      <c r="Q94" s="15">
        <v>1</v>
      </c>
      <c r="R94" s="7">
        <v>3</v>
      </c>
      <c r="S94" s="14">
        <v>3</v>
      </c>
      <c r="T94" s="29">
        <v>2</v>
      </c>
      <c r="U94" s="30" t="s">
        <v>32</v>
      </c>
      <c r="V94" s="17">
        <v>1</v>
      </c>
    </row>
    <row r="95" spans="1:22">
      <c r="A95" s="1" t="s">
        <v>136</v>
      </c>
      <c r="B95" s="2" t="s">
        <v>137</v>
      </c>
      <c r="C95" s="31" t="s">
        <v>41</v>
      </c>
      <c r="D95" s="31" t="s">
        <v>42</v>
      </c>
      <c r="E95" s="15">
        <v>95.9</v>
      </c>
      <c r="F95" s="15">
        <v>85.8</v>
      </c>
      <c r="G95" s="15">
        <v>88.4</v>
      </c>
      <c r="H95" s="15">
        <v>92</v>
      </c>
      <c r="I95" s="7">
        <v>87.9</v>
      </c>
      <c r="J95" s="14">
        <f t="shared" si="1"/>
        <v>90</v>
      </c>
      <c r="K95" s="28">
        <v>171</v>
      </c>
      <c r="L95" s="8">
        <v>60</v>
      </c>
      <c r="M95" s="8">
        <v>100</v>
      </c>
      <c r="N95" s="14">
        <f>IF(ROUNDUP(IF(K95 &gt; 132, K95 / 40, K95 / 36), 0) &gt;= 7, 6, ROUNDUP(IF(K95 &gt; 132, K95 / 40, K95 / 36), 0))</f>
        <v>5</v>
      </c>
      <c r="O95" s="28">
        <f>L95*K95</f>
        <v>10260</v>
      </c>
      <c r="P95" s="28">
        <f>K95*M95</f>
        <v>17100</v>
      </c>
      <c r="Q95" s="17">
        <v>1</v>
      </c>
      <c r="R95" s="7">
        <v>3</v>
      </c>
      <c r="S95" s="14">
        <v>3</v>
      </c>
      <c r="T95" s="14">
        <v>1</v>
      </c>
      <c r="U95" s="30" t="s">
        <v>43</v>
      </c>
      <c r="V95" s="15">
        <v>1</v>
      </c>
    </row>
    <row r="96" spans="1:22">
      <c r="A96" s="1" t="s">
        <v>136</v>
      </c>
      <c r="B96" s="2" t="s">
        <v>137</v>
      </c>
      <c r="C96" s="30" t="s">
        <v>44</v>
      </c>
      <c r="D96" s="35" t="s">
        <v>42</v>
      </c>
      <c r="E96" s="15">
        <v>93</v>
      </c>
      <c r="F96" s="15">
        <v>80.099999999999994</v>
      </c>
      <c r="G96" s="15">
        <v>84.55</v>
      </c>
      <c r="H96" s="15">
        <v>83.65</v>
      </c>
      <c r="I96" s="7">
        <v>80</v>
      </c>
      <c r="J96" s="14">
        <f t="shared" si="1"/>
        <v>84.259999999999991</v>
      </c>
      <c r="K96" s="8">
        <v>160</v>
      </c>
      <c r="L96" s="8">
        <v>60</v>
      </c>
      <c r="M96" s="8">
        <v>100</v>
      </c>
      <c r="N96" s="14">
        <f>IF(ROUNDUP(IF(K96 &gt; 132, K96 / 40, K96 / 36), 0) &gt;= 7, 6, ROUNDUP(IF(K96 &gt; 132, K96 / 40, K96 / 36), 0))</f>
        <v>4</v>
      </c>
      <c r="O96" s="28">
        <f>L96*K96</f>
        <v>9600</v>
      </c>
      <c r="P96" s="28">
        <f>K96*M96</f>
        <v>16000</v>
      </c>
      <c r="Q96" s="17">
        <v>1</v>
      </c>
      <c r="R96" s="7">
        <v>2</v>
      </c>
      <c r="S96" s="7">
        <v>3</v>
      </c>
      <c r="T96" s="7">
        <v>1</v>
      </c>
      <c r="U96" s="30" t="s">
        <v>45</v>
      </c>
      <c r="V96" s="17">
        <v>1</v>
      </c>
    </row>
    <row r="97" spans="1:22">
      <c r="A97" s="1" t="s">
        <v>136</v>
      </c>
      <c r="B97" s="2" t="s">
        <v>137</v>
      </c>
      <c r="C97" s="30" t="s">
        <v>46</v>
      </c>
      <c r="D97" s="35" t="s">
        <v>42</v>
      </c>
      <c r="E97" s="15">
        <v>89.7</v>
      </c>
      <c r="F97" s="15">
        <v>80.150000000000006</v>
      </c>
      <c r="G97" s="15">
        <v>81.95</v>
      </c>
      <c r="H97" s="15">
        <v>85.1</v>
      </c>
      <c r="I97" s="7">
        <v>80</v>
      </c>
      <c r="J97" s="14">
        <f t="shared" si="1"/>
        <v>83.38</v>
      </c>
      <c r="K97" s="8">
        <v>160</v>
      </c>
      <c r="L97" s="8">
        <v>29</v>
      </c>
      <c r="M97" s="8">
        <v>75</v>
      </c>
      <c r="N97" s="14">
        <f>IF(ROUNDUP(IF(K97 &gt; 132, K97 / 40, K97 / 36), 0) &gt;= 7, 6, ROUNDUP(IF(K97 &gt; 132, K97 / 40, K97 / 36), 0))</f>
        <v>4</v>
      </c>
      <c r="O97" s="28">
        <f>L97*K97</f>
        <v>4640</v>
      </c>
      <c r="P97" s="28">
        <f>K97*M97</f>
        <v>12000</v>
      </c>
      <c r="Q97" s="17">
        <v>1</v>
      </c>
      <c r="R97" s="7">
        <v>2</v>
      </c>
      <c r="S97" s="7">
        <v>4</v>
      </c>
      <c r="T97" s="7">
        <v>2</v>
      </c>
      <c r="U97" s="30" t="s">
        <v>47</v>
      </c>
      <c r="V97" s="17">
        <v>1</v>
      </c>
    </row>
    <row r="98" spans="1:22">
      <c r="A98" s="1" t="s">
        <v>136</v>
      </c>
      <c r="B98" s="2" t="s">
        <v>137</v>
      </c>
      <c r="C98" s="30" t="s">
        <v>48</v>
      </c>
      <c r="D98" s="35" t="s">
        <v>42</v>
      </c>
      <c r="E98" s="15">
        <v>91</v>
      </c>
      <c r="F98" s="15">
        <v>83.5</v>
      </c>
      <c r="G98" s="16">
        <v>85</v>
      </c>
      <c r="H98" s="15">
        <v>91.4</v>
      </c>
      <c r="I98" s="7">
        <v>92</v>
      </c>
      <c r="J98" s="14">
        <f t="shared" si="1"/>
        <v>88.58</v>
      </c>
      <c r="K98" s="8">
        <v>160</v>
      </c>
      <c r="L98" s="8">
        <v>30</v>
      </c>
      <c r="M98" s="8">
        <v>55</v>
      </c>
      <c r="N98" s="14">
        <f>IF(ROUNDUP(IF(K98 &gt; 132, K98 / 40, K98 / 36), 0) &gt;= 7, 6, ROUNDUP(IF(K98 &gt; 132, K98 / 40, K98 / 36), 0))</f>
        <v>4</v>
      </c>
      <c r="O98" s="28">
        <f>L98*K98</f>
        <v>4800</v>
      </c>
      <c r="P98" s="28">
        <f>K98*M98</f>
        <v>8800</v>
      </c>
      <c r="Q98" s="17">
        <v>1</v>
      </c>
      <c r="R98" s="7">
        <v>2</v>
      </c>
      <c r="S98" s="7">
        <v>3</v>
      </c>
      <c r="T98" s="7">
        <v>1</v>
      </c>
      <c r="U98" s="30" t="s">
        <v>49</v>
      </c>
      <c r="V98" s="17">
        <v>1</v>
      </c>
    </row>
    <row r="99" spans="1:22">
      <c r="A99" s="1" t="s">
        <v>136</v>
      </c>
      <c r="B99" s="2" t="s">
        <v>137</v>
      </c>
      <c r="C99" s="30" t="s">
        <v>52</v>
      </c>
      <c r="D99" s="35" t="s">
        <v>42</v>
      </c>
      <c r="E99" s="15">
        <v>93.9</v>
      </c>
      <c r="F99" s="15">
        <v>91.5</v>
      </c>
      <c r="G99" s="16">
        <v>90</v>
      </c>
      <c r="H99" s="15">
        <v>93</v>
      </c>
      <c r="I99" s="7">
        <v>92.5</v>
      </c>
      <c r="J99" s="14">
        <f t="shared" si="1"/>
        <v>92.179999999999993</v>
      </c>
      <c r="K99" s="8">
        <v>160</v>
      </c>
      <c r="L99" s="8">
        <v>29</v>
      </c>
      <c r="M99" s="8">
        <v>75</v>
      </c>
      <c r="N99" s="14">
        <f>IF(ROUNDUP(IF(K99 &gt; 132, K99 / 40, K99 / 36), 0) &gt;= 7, 6, ROUNDUP(IF(K99 &gt; 132, K99 / 40, K99 / 36), 0))</f>
        <v>4</v>
      </c>
      <c r="O99" s="28">
        <f>L99*K99</f>
        <v>4640</v>
      </c>
      <c r="P99" s="28">
        <f>K99*M99</f>
        <v>12000</v>
      </c>
      <c r="Q99" s="17">
        <v>1</v>
      </c>
      <c r="R99" s="7">
        <v>2</v>
      </c>
      <c r="S99" s="7">
        <v>3</v>
      </c>
      <c r="T99" s="7">
        <v>1</v>
      </c>
      <c r="U99" s="30" t="s">
        <v>53</v>
      </c>
      <c r="V99" s="17">
        <v>1</v>
      </c>
    </row>
    <row r="100" spans="1:22">
      <c r="A100" s="1" t="s">
        <v>136</v>
      </c>
      <c r="B100" s="30" t="s">
        <v>137</v>
      </c>
      <c r="C100" s="30" t="s">
        <v>56</v>
      </c>
      <c r="D100" s="35" t="s">
        <v>42</v>
      </c>
      <c r="E100" s="15">
        <v>94.5</v>
      </c>
      <c r="F100" s="15">
        <v>84</v>
      </c>
      <c r="G100" s="15">
        <v>87.33</v>
      </c>
      <c r="H100" s="15">
        <v>91.4</v>
      </c>
      <c r="I100" s="7">
        <v>98.8</v>
      </c>
      <c r="J100" s="14">
        <f t="shared" si="1"/>
        <v>91.206000000000003</v>
      </c>
      <c r="K100" s="8">
        <v>132</v>
      </c>
      <c r="L100" s="8">
        <v>29</v>
      </c>
      <c r="M100" s="8">
        <v>50</v>
      </c>
      <c r="N100" s="14">
        <f>IF(ROUNDUP(IF(K100 &gt; 132, K100 / 40, K100 / 36), 0) &gt;= 7, 6, ROUNDUP(IF(K100 &gt; 132, K100 / 40, K100 / 36), 0))</f>
        <v>4</v>
      </c>
      <c r="O100" s="28">
        <f>L100*K100</f>
        <v>3828</v>
      </c>
      <c r="P100" s="28">
        <f>K100*M100</f>
        <v>6600</v>
      </c>
      <c r="Q100" s="17">
        <v>1</v>
      </c>
      <c r="R100" s="7">
        <v>2</v>
      </c>
      <c r="S100" s="7">
        <v>3</v>
      </c>
      <c r="T100" s="7">
        <v>2</v>
      </c>
      <c r="U100" s="30" t="s">
        <v>57</v>
      </c>
      <c r="V100" s="17">
        <v>1</v>
      </c>
    </row>
    <row r="101" spans="1:22">
      <c r="A101" s="1" t="s">
        <v>136</v>
      </c>
      <c r="B101" s="2" t="s">
        <v>137</v>
      </c>
      <c r="C101" s="30" t="s">
        <v>58</v>
      </c>
      <c r="D101" s="30" t="s">
        <v>59</v>
      </c>
      <c r="E101" s="15">
        <v>90.5</v>
      </c>
      <c r="F101" s="15">
        <v>79.7</v>
      </c>
      <c r="G101" s="15">
        <v>81.05</v>
      </c>
      <c r="H101" s="12">
        <v>83.45</v>
      </c>
      <c r="I101" s="7">
        <v>77.5</v>
      </c>
      <c r="J101" s="14">
        <f t="shared" si="1"/>
        <v>82.44</v>
      </c>
      <c r="K101" s="8">
        <v>132</v>
      </c>
      <c r="L101" s="8">
        <v>30</v>
      </c>
      <c r="M101" s="8">
        <v>60</v>
      </c>
      <c r="N101" s="14">
        <f>IF(ROUNDUP(IF(K101 &gt; 132, K101 / 40, K101 / 36), 0) &gt;= 7, 6, ROUNDUP(IF(K101 &gt; 132, K101 / 40, K101 / 36), 0))</f>
        <v>4</v>
      </c>
      <c r="O101" s="28">
        <f>L101*K101</f>
        <v>3960</v>
      </c>
      <c r="P101" s="28">
        <f>K101*M101</f>
        <v>7920</v>
      </c>
      <c r="Q101" s="15">
        <v>0</v>
      </c>
      <c r="R101" s="7">
        <v>1</v>
      </c>
      <c r="S101" s="7">
        <v>3</v>
      </c>
      <c r="T101" s="7">
        <v>1</v>
      </c>
      <c r="U101" s="30" t="s">
        <v>60</v>
      </c>
      <c r="V101" s="17">
        <v>1</v>
      </c>
    </row>
    <row r="102" spans="1:22">
      <c r="A102" s="1" t="s">
        <v>136</v>
      </c>
      <c r="B102" s="2" t="s">
        <v>137</v>
      </c>
      <c r="C102" s="30" t="s">
        <v>61</v>
      </c>
      <c r="D102" s="30" t="s">
        <v>59</v>
      </c>
      <c r="E102" s="15">
        <v>90.8</v>
      </c>
      <c r="F102" s="7">
        <v>80.3</v>
      </c>
      <c r="G102" s="15">
        <v>81.2</v>
      </c>
      <c r="H102" s="15">
        <v>83.45</v>
      </c>
      <c r="I102" s="7">
        <v>75.099999999999994</v>
      </c>
      <c r="J102" s="14">
        <f t="shared" si="1"/>
        <v>82.17</v>
      </c>
      <c r="K102" s="8">
        <v>132</v>
      </c>
      <c r="L102" s="8">
        <v>30</v>
      </c>
      <c r="M102" s="8">
        <v>70</v>
      </c>
      <c r="N102" s="14">
        <f>IF(ROUNDUP(IF(K102 &gt; 132, K102 / 40, K102 / 36), 0) &gt;= 7, 6, ROUNDUP(IF(K102 &gt; 132, K102 / 40, K102 / 36), 0))</f>
        <v>4</v>
      </c>
      <c r="O102" s="28">
        <f>L102*K102</f>
        <v>3960</v>
      </c>
      <c r="P102" s="28">
        <f>K102*M102</f>
        <v>9240</v>
      </c>
      <c r="Q102" s="7">
        <v>0</v>
      </c>
      <c r="R102" s="7">
        <v>1</v>
      </c>
      <c r="S102" s="7">
        <v>3</v>
      </c>
      <c r="T102" s="7">
        <v>1</v>
      </c>
      <c r="U102" s="30" t="s">
        <v>62</v>
      </c>
      <c r="V102" s="15">
        <v>1</v>
      </c>
    </row>
    <row r="103" spans="1:22">
      <c r="A103" s="1" t="s">
        <v>136</v>
      </c>
      <c r="B103" s="30" t="s">
        <v>137</v>
      </c>
      <c r="C103" s="30" t="s">
        <v>63</v>
      </c>
      <c r="D103" s="30" t="s">
        <v>59</v>
      </c>
      <c r="E103" s="15">
        <v>89.3</v>
      </c>
      <c r="F103" s="15">
        <v>77.8</v>
      </c>
      <c r="G103" s="15">
        <v>78.75</v>
      </c>
      <c r="H103" s="15">
        <v>83.25</v>
      </c>
      <c r="I103" s="7">
        <v>73.5</v>
      </c>
      <c r="J103" s="14">
        <f t="shared" si="1"/>
        <v>80.52000000000001</v>
      </c>
      <c r="K103" s="8">
        <v>132</v>
      </c>
      <c r="L103" s="8">
        <v>21</v>
      </c>
      <c r="M103" s="8">
        <v>50</v>
      </c>
      <c r="N103" s="14">
        <f>IF(ROUNDUP(IF(K103 &gt; 132, K103 / 40, K103 / 36), 0) &gt;= 7, 6, ROUNDUP(IF(K103 &gt; 132, K103 / 40, K103 / 36), 0))</f>
        <v>4</v>
      </c>
      <c r="O103" s="28">
        <f>L103*K103</f>
        <v>2772</v>
      </c>
      <c r="P103" s="28">
        <f>K103*M103</f>
        <v>6600</v>
      </c>
      <c r="Q103" s="7">
        <v>0</v>
      </c>
      <c r="R103" s="7">
        <v>1</v>
      </c>
      <c r="S103" s="7">
        <v>4</v>
      </c>
      <c r="T103" s="7">
        <v>1</v>
      </c>
      <c r="U103" s="30" t="s">
        <v>64</v>
      </c>
      <c r="V103" s="17">
        <v>1</v>
      </c>
    </row>
    <row r="104" spans="1:22">
      <c r="A104" s="1" t="s">
        <v>136</v>
      </c>
      <c r="B104" s="2" t="s">
        <v>137</v>
      </c>
      <c r="C104" s="30" t="s">
        <v>65</v>
      </c>
      <c r="D104" s="30" t="s">
        <v>59</v>
      </c>
      <c r="E104" s="15">
        <v>83.1</v>
      </c>
      <c r="F104" s="15">
        <v>73.349999999999994</v>
      </c>
      <c r="G104" s="15">
        <v>74.349999999999994</v>
      </c>
      <c r="H104" s="15">
        <v>75.7</v>
      </c>
      <c r="I104" s="7">
        <v>75</v>
      </c>
      <c r="J104" s="14">
        <f t="shared" si="1"/>
        <v>76.3</v>
      </c>
      <c r="K104" s="8">
        <v>132</v>
      </c>
      <c r="L104" s="8">
        <v>40</v>
      </c>
      <c r="M104" s="8">
        <v>65</v>
      </c>
      <c r="N104" s="14">
        <f>IF(ROUNDUP(IF(K104 &gt; 132, K104 / 40, K104 / 36), 0) &gt;= 7, 6, ROUNDUP(IF(K104 &gt; 132, K104 / 40, K104 / 36), 0))</f>
        <v>4</v>
      </c>
      <c r="O104" s="28">
        <f>L104*K104</f>
        <v>5280</v>
      </c>
      <c r="P104" s="28">
        <f>K104*M104</f>
        <v>8580</v>
      </c>
      <c r="Q104" s="7">
        <v>0</v>
      </c>
      <c r="R104" s="7">
        <v>2</v>
      </c>
      <c r="S104" s="7">
        <v>3</v>
      </c>
      <c r="T104" s="7">
        <v>0</v>
      </c>
      <c r="U104" s="30" t="s">
        <v>66</v>
      </c>
      <c r="V104" s="17">
        <v>1</v>
      </c>
    </row>
    <row r="105" spans="1:22">
      <c r="A105" s="1" t="s">
        <v>136</v>
      </c>
      <c r="B105" s="2" t="s">
        <v>137</v>
      </c>
      <c r="C105" s="30" t="s">
        <v>67</v>
      </c>
      <c r="D105" s="30" t="s">
        <v>59</v>
      </c>
      <c r="E105" s="15">
        <v>92.8</v>
      </c>
      <c r="F105" s="15">
        <v>80.400000000000006</v>
      </c>
      <c r="G105" s="15">
        <v>81.3</v>
      </c>
      <c r="H105" s="15">
        <v>82.9</v>
      </c>
      <c r="I105" s="7">
        <v>74.5</v>
      </c>
      <c r="J105" s="14">
        <f t="shared" si="1"/>
        <v>82.38</v>
      </c>
      <c r="K105" s="8">
        <v>132</v>
      </c>
      <c r="L105" s="8">
        <v>35</v>
      </c>
      <c r="M105" s="8">
        <v>60</v>
      </c>
      <c r="N105" s="14">
        <f>IF(ROUNDUP(IF(K105 &gt; 132, K105 / 40, K105 / 36), 0) &gt;= 7, 6, ROUNDUP(IF(K105 &gt; 132, K105 / 40, K105 / 36), 0))</f>
        <v>4</v>
      </c>
      <c r="O105" s="28">
        <f>L105*K105</f>
        <v>4620</v>
      </c>
      <c r="P105" s="28">
        <f>K105*M105</f>
        <v>7920</v>
      </c>
      <c r="Q105" s="7">
        <v>0</v>
      </c>
      <c r="R105" s="7">
        <v>0</v>
      </c>
      <c r="S105" s="7">
        <v>4</v>
      </c>
      <c r="T105" s="7">
        <v>1</v>
      </c>
      <c r="U105" s="30" t="s">
        <v>68</v>
      </c>
      <c r="V105" s="17">
        <v>1</v>
      </c>
    </row>
    <row r="106" spans="1:22">
      <c r="A106" s="1" t="s">
        <v>136</v>
      </c>
      <c r="B106" s="2" t="s">
        <v>137</v>
      </c>
      <c r="C106" s="30" t="s">
        <v>69</v>
      </c>
      <c r="D106" s="30" t="s">
        <v>59</v>
      </c>
      <c r="E106" s="15">
        <v>88.7</v>
      </c>
      <c r="F106" s="15">
        <v>81.8</v>
      </c>
      <c r="G106" s="15">
        <v>87.4</v>
      </c>
      <c r="H106" s="17">
        <v>92.05</v>
      </c>
      <c r="I106" s="7">
        <v>92.2</v>
      </c>
      <c r="J106" s="14">
        <f t="shared" si="1"/>
        <v>88.429999999999993</v>
      </c>
      <c r="K106" s="8">
        <v>132</v>
      </c>
      <c r="L106" s="8">
        <v>45</v>
      </c>
      <c r="M106" s="8">
        <v>70</v>
      </c>
      <c r="N106" s="14">
        <f>IF(ROUNDUP(IF(K106 &gt; 132, K106 / 40, K106 / 36), 0) &gt;= 7, 6, ROUNDUP(IF(K106 &gt; 132, K106 / 40, K106 / 36), 0))</f>
        <v>4</v>
      </c>
      <c r="O106" s="28">
        <f>L106*K106</f>
        <v>5940</v>
      </c>
      <c r="P106" s="28">
        <f>K106*M106</f>
        <v>9240</v>
      </c>
      <c r="Q106" s="7">
        <v>1</v>
      </c>
      <c r="R106" s="7">
        <v>2</v>
      </c>
      <c r="S106" s="7">
        <v>3</v>
      </c>
      <c r="T106" s="7">
        <v>2</v>
      </c>
      <c r="U106" s="30" t="s">
        <v>70</v>
      </c>
      <c r="V106" s="17">
        <v>1</v>
      </c>
    </row>
    <row r="107" spans="1:22">
      <c r="A107" s="1" t="s">
        <v>136</v>
      </c>
      <c r="B107" s="2" t="s">
        <v>137</v>
      </c>
      <c r="C107" s="30" t="s">
        <v>71</v>
      </c>
      <c r="D107" s="30" t="s">
        <v>59</v>
      </c>
      <c r="E107" s="15">
        <v>90</v>
      </c>
      <c r="F107" s="15">
        <v>83.05</v>
      </c>
      <c r="G107" s="15">
        <v>86.8</v>
      </c>
      <c r="H107" s="15">
        <v>90.05</v>
      </c>
      <c r="I107" s="7">
        <v>87</v>
      </c>
      <c r="J107" s="14">
        <f t="shared" si="1"/>
        <v>87.38000000000001</v>
      </c>
      <c r="K107" s="8">
        <v>132</v>
      </c>
      <c r="L107" s="8">
        <v>55</v>
      </c>
      <c r="M107" s="8">
        <v>80</v>
      </c>
      <c r="N107" s="14">
        <f>IF(ROUNDUP(IF(K107 &gt; 132, K107 / 40, K107 / 36), 0) &gt;= 7, 6, ROUNDUP(IF(K107 &gt; 132, K107 / 40, K107 / 36), 0))</f>
        <v>4</v>
      </c>
      <c r="O107" s="28">
        <f>L107*K107</f>
        <v>7260</v>
      </c>
      <c r="P107" s="28">
        <f>K107*M107</f>
        <v>10560</v>
      </c>
      <c r="Q107" s="7">
        <v>1</v>
      </c>
      <c r="R107" s="7">
        <v>3</v>
      </c>
      <c r="S107" s="7">
        <v>3</v>
      </c>
      <c r="T107" s="7">
        <v>2</v>
      </c>
      <c r="U107" s="30" t="s">
        <v>72</v>
      </c>
      <c r="V107" s="17">
        <v>1</v>
      </c>
    </row>
    <row r="108" spans="1:22">
      <c r="A108" s="1" t="s">
        <v>136</v>
      </c>
      <c r="B108" s="2" t="s">
        <v>137</v>
      </c>
      <c r="C108" s="30" t="s">
        <v>73</v>
      </c>
      <c r="D108" s="30" t="s">
        <v>59</v>
      </c>
      <c r="E108" s="15">
        <v>90</v>
      </c>
      <c r="F108" s="15">
        <v>83.05</v>
      </c>
      <c r="G108" s="15">
        <v>86.8</v>
      </c>
      <c r="H108" s="17">
        <v>90.05</v>
      </c>
      <c r="I108" s="7">
        <v>87</v>
      </c>
      <c r="J108" s="14">
        <f t="shared" si="1"/>
        <v>87.38000000000001</v>
      </c>
      <c r="K108" s="8">
        <v>132</v>
      </c>
      <c r="L108" s="8">
        <v>55</v>
      </c>
      <c r="M108" s="8">
        <v>80</v>
      </c>
      <c r="N108" s="14">
        <f>IF(ROUNDUP(IF(K108 &gt; 132, K108 / 40, K108 / 36), 0) &gt;= 7, 6, ROUNDUP(IF(K108 &gt; 132, K108 / 40, K108 / 36), 0))</f>
        <v>4</v>
      </c>
      <c r="O108" s="28">
        <f>L108*K108</f>
        <v>7260</v>
      </c>
      <c r="P108" s="28">
        <f>K108*M108</f>
        <v>10560</v>
      </c>
      <c r="Q108" s="7">
        <v>1</v>
      </c>
      <c r="R108" s="7">
        <v>3</v>
      </c>
      <c r="S108" s="7">
        <v>3</v>
      </c>
      <c r="T108" s="7">
        <v>2</v>
      </c>
      <c r="U108" s="30" t="s">
        <v>74</v>
      </c>
      <c r="V108" s="17">
        <v>1</v>
      </c>
    </row>
    <row r="109" spans="1:22">
      <c r="A109" s="1" t="s">
        <v>136</v>
      </c>
      <c r="B109" s="2" t="s">
        <v>137</v>
      </c>
      <c r="C109" s="30" t="s">
        <v>75</v>
      </c>
      <c r="D109" s="30" t="s">
        <v>59</v>
      </c>
      <c r="E109" s="15">
        <v>93.7</v>
      </c>
      <c r="F109" s="15">
        <v>85.8</v>
      </c>
      <c r="G109" s="15">
        <v>87.45</v>
      </c>
      <c r="H109" s="15">
        <v>90.1</v>
      </c>
      <c r="I109" s="7">
        <v>85.6</v>
      </c>
      <c r="J109" s="14">
        <f t="shared" si="1"/>
        <v>88.53</v>
      </c>
      <c r="K109" s="8">
        <v>132</v>
      </c>
      <c r="L109" s="8">
        <v>55</v>
      </c>
      <c r="M109" s="8">
        <v>80</v>
      </c>
      <c r="N109" s="14">
        <f>IF(ROUNDUP(IF(K109 &gt; 132, K109 / 40, K109 / 36), 0) &gt;= 7, 6, ROUNDUP(IF(K109 &gt; 132, K109 / 40, K109 / 36), 0))</f>
        <v>4</v>
      </c>
      <c r="O109" s="28">
        <f>L109*K109</f>
        <v>7260</v>
      </c>
      <c r="P109" s="28">
        <f>K109*M109</f>
        <v>10560</v>
      </c>
      <c r="Q109" s="7">
        <v>1</v>
      </c>
      <c r="R109" s="7">
        <v>3</v>
      </c>
      <c r="S109" s="7">
        <v>3</v>
      </c>
      <c r="T109" s="7">
        <v>2</v>
      </c>
      <c r="U109" s="30" t="s">
        <v>76</v>
      </c>
      <c r="V109" s="15">
        <v>1</v>
      </c>
    </row>
    <row r="110" spans="1:22">
      <c r="A110" s="1" t="s">
        <v>136</v>
      </c>
      <c r="B110" s="2" t="s">
        <v>137</v>
      </c>
      <c r="C110" s="30" t="s">
        <v>79</v>
      </c>
      <c r="D110" s="30" t="s">
        <v>59</v>
      </c>
      <c r="E110" s="15">
        <v>85.7</v>
      </c>
      <c r="F110" s="15">
        <v>79.599999999999994</v>
      </c>
      <c r="G110" s="15">
        <v>80.849999999999994</v>
      </c>
      <c r="H110" s="15">
        <v>88.35</v>
      </c>
      <c r="I110" s="7">
        <v>83</v>
      </c>
      <c r="J110" s="14">
        <f t="shared" si="1"/>
        <v>83.5</v>
      </c>
      <c r="K110" s="8">
        <v>132</v>
      </c>
      <c r="L110" s="8">
        <v>20</v>
      </c>
      <c r="M110" s="8">
        <v>23</v>
      </c>
      <c r="N110" s="14">
        <f>IF(ROUNDUP(IF(K110 &gt; 132, K110 / 40, K110 / 36), 0) &gt;= 7, 6, ROUNDUP(IF(K110 &gt; 132, K110 / 40, K110 / 36), 0))</f>
        <v>4</v>
      </c>
      <c r="O110" s="28">
        <f>L110*K110</f>
        <v>2640</v>
      </c>
      <c r="P110" s="28">
        <f>K110*M110</f>
        <v>3036</v>
      </c>
      <c r="Q110" s="7">
        <v>0</v>
      </c>
      <c r="R110" s="7">
        <v>2</v>
      </c>
      <c r="S110" s="7">
        <v>2</v>
      </c>
      <c r="T110" s="7">
        <v>1</v>
      </c>
      <c r="U110" s="30" t="s">
        <v>80</v>
      </c>
      <c r="V110" s="17">
        <v>1</v>
      </c>
    </row>
    <row r="111" spans="1:22">
      <c r="A111" s="1" t="s">
        <v>136</v>
      </c>
      <c r="B111" s="2" t="s">
        <v>137</v>
      </c>
      <c r="C111" s="30" t="s">
        <v>87</v>
      </c>
      <c r="D111" s="1" t="s">
        <v>88</v>
      </c>
      <c r="E111" s="15">
        <v>95.9</v>
      </c>
      <c r="F111" s="15">
        <v>87.1</v>
      </c>
      <c r="G111" s="15">
        <v>89.8</v>
      </c>
      <c r="H111" s="15">
        <v>87.45</v>
      </c>
      <c r="I111" s="7">
        <v>83.1</v>
      </c>
      <c r="J111" s="14">
        <f t="shared" si="1"/>
        <v>88.67</v>
      </c>
      <c r="K111" s="8">
        <v>132</v>
      </c>
      <c r="L111" s="8">
        <v>30</v>
      </c>
      <c r="M111" s="8">
        <v>50</v>
      </c>
      <c r="N111" s="14">
        <f>IF(ROUNDUP(IF(K111 &gt; 132, K111 / 40, K111 / 36), 0) &gt;= 7, 6, ROUNDUP(IF(K111 &gt; 132, K111 / 40, K111 / 36), 0))</f>
        <v>4</v>
      </c>
      <c r="O111" s="28">
        <f>L111*K111</f>
        <v>3960</v>
      </c>
      <c r="P111" s="28">
        <f>K111*M111</f>
        <v>6600</v>
      </c>
      <c r="Q111" s="7">
        <v>0</v>
      </c>
      <c r="R111" s="7">
        <v>0</v>
      </c>
      <c r="S111" s="7">
        <v>2</v>
      </c>
      <c r="T111" s="7">
        <v>0</v>
      </c>
      <c r="U111" s="30" t="s">
        <v>89</v>
      </c>
      <c r="V111" s="17">
        <v>1</v>
      </c>
    </row>
    <row r="112" spans="1:22">
      <c r="A112" s="1" t="s">
        <v>136</v>
      </c>
      <c r="B112" s="2" t="s">
        <v>137</v>
      </c>
      <c r="C112" s="30" t="s">
        <v>90</v>
      </c>
      <c r="D112" s="2" t="s">
        <v>88</v>
      </c>
      <c r="E112" s="15">
        <v>96.8</v>
      </c>
      <c r="F112" s="15">
        <v>88.8</v>
      </c>
      <c r="G112" s="15">
        <v>90.4</v>
      </c>
      <c r="H112" s="15">
        <v>90.35</v>
      </c>
      <c r="I112" s="7">
        <v>86.8</v>
      </c>
      <c r="J112" s="14">
        <f t="shared" si="1"/>
        <v>90.63000000000001</v>
      </c>
      <c r="K112" s="8">
        <v>132</v>
      </c>
      <c r="L112" s="8">
        <v>35</v>
      </c>
      <c r="M112" s="8">
        <v>60</v>
      </c>
      <c r="N112" s="14">
        <f>IF(ROUNDUP(IF(K112 &gt; 132, K112 / 40, K112 / 36), 0) &gt;= 7, 6, ROUNDUP(IF(K112 &gt; 132, K112 / 40, K112 / 36), 0))</f>
        <v>4</v>
      </c>
      <c r="O112" s="28">
        <f>L112*K112</f>
        <v>4620</v>
      </c>
      <c r="P112" s="28">
        <f>K112*M112</f>
        <v>7920</v>
      </c>
      <c r="Q112" s="7">
        <v>0</v>
      </c>
      <c r="R112" s="7">
        <v>0</v>
      </c>
      <c r="S112" s="7">
        <v>2</v>
      </c>
      <c r="T112" s="7">
        <v>1</v>
      </c>
      <c r="U112" s="30" t="s">
        <v>91</v>
      </c>
      <c r="V112" s="17">
        <v>1</v>
      </c>
    </row>
    <row r="113" spans="1:22">
      <c r="A113" s="1" t="s">
        <v>136</v>
      </c>
      <c r="B113" s="2" t="s">
        <v>137</v>
      </c>
      <c r="C113" s="30" t="s">
        <v>92</v>
      </c>
      <c r="D113" s="2" t="s">
        <v>88</v>
      </c>
      <c r="E113" s="9">
        <v>83</v>
      </c>
      <c r="F113" s="9">
        <v>78</v>
      </c>
      <c r="G113" s="15">
        <v>80</v>
      </c>
      <c r="H113" s="15">
        <v>82</v>
      </c>
      <c r="I113" s="7">
        <v>83</v>
      </c>
      <c r="J113" s="14">
        <f t="shared" si="1"/>
        <v>81.2</v>
      </c>
      <c r="K113" s="8">
        <v>132</v>
      </c>
      <c r="L113" s="8">
        <v>30</v>
      </c>
      <c r="M113" s="8">
        <v>60</v>
      </c>
      <c r="N113" s="14">
        <f>IF(ROUNDUP(IF(K113 &gt; 132, K113 / 40, K113 / 36), 0) &gt;= 7, 6, ROUNDUP(IF(K113 &gt; 132, K113 / 40, K113 / 36), 0))</f>
        <v>4</v>
      </c>
      <c r="O113" s="28">
        <f>L113*K113</f>
        <v>3960</v>
      </c>
      <c r="P113" s="28">
        <f>K113*M113</f>
        <v>7920</v>
      </c>
      <c r="Q113" s="7">
        <v>0</v>
      </c>
      <c r="R113" s="7">
        <v>0</v>
      </c>
      <c r="S113" s="7">
        <v>2</v>
      </c>
      <c r="T113" s="7">
        <v>0</v>
      </c>
      <c r="U113" s="30" t="s">
        <v>93</v>
      </c>
      <c r="V113" s="17">
        <v>1</v>
      </c>
    </row>
    <row r="114" spans="1:22">
      <c r="A114" s="1" t="s">
        <v>136</v>
      </c>
      <c r="B114" s="2" t="s">
        <v>137</v>
      </c>
      <c r="C114" s="30" t="s">
        <v>94</v>
      </c>
      <c r="D114" s="2" t="s">
        <v>88</v>
      </c>
      <c r="E114" s="15">
        <v>92</v>
      </c>
      <c r="F114" s="15">
        <v>89.5</v>
      </c>
      <c r="G114" s="15">
        <v>90.25</v>
      </c>
      <c r="H114" s="15">
        <v>93.05</v>
      </c>
      <c r="I114" s="7">
        <v>90</v>
      </c>
      <c r="J114" s="14">
        <f t="shared" si="1"/>
        <v>90.960000000000008</v>
      </c>
      <c r="K114" s="8">
        <v>132</v>
      </c>
      <c r="L114" s="8">
        <v>60</v>
      </c>
      <c r="M114" s="8">
        <v>80</v>
      </c>
      <c r="N114" s="14">
        <f>IF(ROUNDUP(IF(K114 &gt; 132, K114 / 40, K114 / 36), 0) &gt;= 7, 6, ROUNDUP(IF(K114 &gt; 132, K114 / 40, K114 / 36), 0))</f>
        <v>4</v>
      </c>
      <c r="O114" s="28">
        <f>L114*K114</f>
        <v>7920</v>
      </c>
      <c r="P114" s="28">
        <f>K114*M114</f>
        <v>10560</v>
      </c>
      <c r="Q114" s="7">
        <v>0</v>
      </c>
      <c r="R114" s="7">
        <v>2</v>
      </c>
      <c r="S114" s="7">
        <v>2</v>
      </c>
      <c r="T114" s="7">
        <v>2</v>
      </c>
      <c r="U114" s="30" t="s">
        <v>95</v>
      </c>
      <c r="V114" s="17">
        <v>1</v>
      </c>
    </row>
    <row r="115" spans="1:22">
      <c r="A115" s="1" t="s">
        <v>136</v>
      </c>
      <c r="B115" s="2" t="s">
        <v>137</v>
      </c>
      <c r="C115" s="1" t="s">
        <v>96</v>
      </c>
      <c r="D115" s="2" t="s">
        <v>88</v>
      </c>
      <c r="E115" s="15">
        <v>89.2</v>
      </c>
      <c r="F115" s="15">
        <v>83.5</v>
      </c>
      <c r="G115" s="15">
        <v>84.5</v>
      </c>
      <c r="H115" s="15">
        <v>86.95</v>
      </c>
      <c r="I115" s="7">
        <v>86.6</v>
      </c>
      <c r="J115" s="14">
        <f t="shared" si="1"/>
        <v>86.15</v>
      </c>
      <c r="K115" s="8">
        <v>132</v>
      </c>
      <c r="L115" s="8">
        <v>30</v>
      </c>
      <c r="M115" s="8">
        <v>60</v>
      </c>
      <c r="N115" s="14">
        <f>IF(ROUNDUP(IF(K115 &gt; 132, K115 / 40, K115 / 36), 0) &gt;= 7, 6, ROUNDUP(IF(K115 &gt; 132, K115 / 40, K115 / 36), 0))</f>
        <v>4</v>
      </c>
      <c r="O115" s="28">
        <f>L115*K115</f>
        <v>3960</v>
      </c>
      <c r="P115" s="28">
        <f>K115*M115</f>
        <v>7920</v>
      </c>
      <c r="Q115" s="7">
        <v>1</v>
      </c>
      <c r="R115" s="7">
        <v>1</v>
      </c>
      <c r="S115" s="7">
        <v>3</v>
      </c>
      <c r="T115" s="7">
        <v>1</v>
      </c>
      <c r="U115" s="30" t="s">
        <v>97</v>
      </c>
      <c r="V115" s="17">
        <v>1</v>
      </c>
    </row>
    <row r="116" spans="1:22">
      <c r="A116" s="1" t="s">
        <v>136</v>
      </c>
      <c r="B116" s="2" t="s">
        <v>137</v>
      </c>
      <c r="C116" s="1" t="s">
        <v>98</v>
      </c>
      <c r="D116" s="2" t="s">
        <v>88</v>
      </c>
      <c r="E116" s="15">
        <v>87.4</v>
      </c>
      <c r="F116" s="15">
        <v>78.599999999999994</v>
      </c>
      <c r="G116" s="15">
        <v>80.45</v>
      </c>
      <c r="H116" s="15">
        <v>84.15</v>
      </c>
      <c r="I116" s="7">
        <v>78.5</v>
      </c>
      <c r="J116" s="14">
        <f t="shared" si="1"/>
        <v>81.820000000000007</v>
      </c>
      <c r="K116" s="8">
        <v>132</v>
      </c>
      <c r="L116" s="8">
        <v>30</v>
      </c>
      <c r="M116" s="8">
        <v>50</v>
      </c>
      <c r="N116" s="14">
        <f>IF(ROUNDUP(IF(K116 &gt; 132, K116 / 40, K116 / 36), 0) &gt;= 7, 6, ROUNDUP(IF(K116 &gt; 132, K116 / 40, K116 / 36), 0))</f>
        <v>4</v>
      </c>
      <c r="O116" s="28">
        <f>L116*K116</f>
        <v>3960</v>
      </c>
      <c r="P116" s="28">
        <f>K116*M116</f>
        <v>6600</v>
      </c>
      <c r="Q116" s="7">
        <v>0</v>
      </c>
      <c r="R116" s="7">
        <v>1</v>
      </c>
      <c r="S116" s="7">
        <v>2</v>
      </c>
      <c r="T116" s="7">
        <v>0</v>
      </c>
      <c r="U116" s="30" t="s">
        <v>99</v>
      </c>
      <c r="V116" s="15">
        <v>1</v>
      </c>
    </row>
    <row r="117" spans="1:22">
      <c r="A117" s="1" t="s">
        <v>136</v>
      </c>
      <c r="B117" s="2" t="s">
        <v>137</v>
      </c>
      <c r="C117" s="1" t="s">
        <v>100</v>
      </c>
      <c r="D117" s="2" t="s">
        <v>88</v>
      </c>
      <c r="E117" s="15">
        <v>86</v>
      </c>
      <c r="F117" s="15">
        <v>82.5</v>
      </c>
      <c r="G117" s="15">
        <v>83</v>
      </c>
      <c r="H117" s="15">
        <v>83</v>
      </c>
      <c r="I117" s="7">
        <v>80</v>
      </c>
      <c r="J117" s="14">
        <f t="shared" si="1"/>
        <v>82.9</v>
      </c>
      <c r="K117" s="8">
        <v>132</v>
      </c>
      <c r="L117" s="8">
        <v>20</v>
      </c>
      <c r="M117" s="8">
        <v>40</v>
      </c>
      <c r="N117" s="14">
        <f>IF(ROUNDUP(IF(K117 &gt; 132, K117 / 40, K117 / 36), 0) &gt;= 7, 6, ROUNDUP(IF(K117 &gt; 132, K117 / 40, K117 / 36), 0))</f>
        <v>4</v>
      </c>
      <c r="O117" s="28">
        <f>L117*K117</f>
        <v>2640</v>
      </c>
      <c r="P117" s="28">
        <f>K117*M117</f>
        <v>5280</v>
      </c>
      <c r="Q117" s="7">
        <v>1</v>
      </c>
      <c r="R117" s="7">
        <v>2</v>
      </c>
      <c r="S117" s="7">
        <v>3</v>
      </c>
      <c r="T117" s="7">
        <v>2</v>
      </c>
      <c r="U117" s="30" t="s">
        <v>101</v>
      </c>
      <c r="V117" s="17">
        <v>1</v>
      </c>
    </row>
    <row r="118" spans="1:22">
      <c r="A118" s="1" t="s">
        <v>136</v>
      </c>
      <c r="B118" s="30" t="s">
        <v>137</v>
      </c>
      <c r="C118" s="1" t="s">
        <v>102</v>
      </c>
      <c r="D118" s="2" t="s">
        <v>88</v>
      </c>
      <c r="E118" s="15">
        <v>89.7</v>
      </c>
      <c r="F118" s="15">
        <v>81.95</v>
      </c>
      <c r="G118" s="15">
        <v>80.849999999999994</v>
      </c>
      <c r="H118" s="15">
        <v>83.75</v>
      </c>
      <c r="I118" s="7">
        <v>77.599999999999994</v>
      </c>
      <c r="J118" s="14">
        <f t="shared" si="1"/>
        <v>82.77000000000001</v>
      </c>
      <c r="K118" s="8">
        <v>132</v>
      </c>
      <c r="L118" s="8">
        <v>35</v>
      </c>
      <c r="M118" s="8">
        <v>60</v>
      </c>
      <c r="N118" s="14">
        <f>IF(ROUNDUP(IF(K118 &gt; 132, K118 / 40, K118 / 36), 0) &gt;= 7, 6, ROUNDUP(IF(K118 &gt; 132, K118 / 40, K118 / 36), 0))</f>
        <v>4</v>
      </c>
      <c r="O118" s="28">
        <f>L118*K118</f>
        <v>4620</v>
      </c>
      <c r="P118" s="28">
        <f>K118*M118</f>
        <v>7920</v>
      </c>
      <c r="Q118" s="7">
        <v>1</v>
      </c>
      <c r="R118" s="7">
        <v>3</v>
      </c>
      <c r="S118" s="7">
        <v>2</v>
      </c>
      <c r="T118" s="7">
        <v>1</v>
      </c>
      <c r="U118" s="30" t="s">
        <v>103</v>
      </c>
      <c r="V118" s="17">
        <v>1</v>
      </c>
    </row>
    <row r="119" spans="1:22">
      <c r="A119" s="1" t="s">
        <v>136</v>
      </c>
      <c r="B119" s="2" t="s">
        <v>137</v>
      </c>
      <c r="C119" s="1" t="s">
        <v>104</v>
      </c>
      <c r="D119" s="2" t="s">
        <v>88</v>
      </c>
      <c r="E119" s="15">
        <v>89.2</v>
      </c>
      <c r="F119" s="15">
        <v>83.25</v>
      </c>
      <c r="G119" s="15">
        <v>85.3</v>
      </c>
      <c r="H119" s="15">
        <v>86.95</v>
      </c>
      <c r="I119" s="7">
        <v>85</v>
      </c>
      <c r="J119" s="14">
        <f t="shared" si="1"/>
        <v>85.94</v>
      </c>
      <c r="K119" s="8">
        <v>132</v>
      </c>
      <c r="L119" s="8">
        <v>25</v>
      </c>
      <c r="M119" s="8">
        <v>40</v>
      </c>
      <c r="N119" s="14">
        <f>IF(ROUNDUP(IF(K119 &gt; 132, K119 / 40, K119 / 36), 0) &gt;= 7, 6, ROUNDUP(IF(K119 &gt; 132, K119 / 40, K119 / 36), 0))</f>
        <v>4</v>
      </c>
      <c r="O119" s="28">
        <f>L119*K119</f>
        <v>3300</v>
      </c>
      <c r="P119" s="28">
        <f>K119*M119</f>
        <v>5280</v>
      </c>
      <c r="Q119" s="7">
        <v>1</v>
      </c>
      <c r="R119" s="7">
        <v>2</v>
      </c>
      <c r="S119" s="7">
        <v>3</v>
      </c>
      <c r="T119" s="7">
        <v>2</v>
      </c>
      <c r="U119" s="30" t="s">
        <v>105</v>
      </c>
      <c r="V119" s="17">
        <v>1</v>
      </c>
    </row>
    <row r="120" spans="1:22">
      <c r="A120" s="1" t="s">
        <v>136</v>
      </c>
      <c r="B120" s="30" t="s">
        <v>137</v>
      </c>
      <c r="C120" s="1" t="s">
        <v>106</v>
      </c>
      <c r="D120" s="2" t="s">
        <v>88</v>
      </c>
      <c r="E120" s="15">
        <v>76</v>
      </c>
      <c r="F120" s="15">
        <v>73</v>
      </c>
      <c r="G120" s="15">
        <v>74</v>
      </c>
      <c r="H120" s="15">
        <v>74</v>
      </c>
      <c r="I120" s="7">
        <v>78</v>
      </c>
      <c r="J120" s="14">
        <f t="shared" si="1"/>
        <v>75</v>
      </c>
      <c r="K120" s="8">
        <v>132</v>
      </c>
      <c r="L120" s="8">
        <v>20</v>
      </c>
      <c r="M120" s="8">
        <v>35</v>
      </c>
      <c r="N120" s="14">
        <f>IF(ROUNDUP(IF(K120 &gt; 132, K120 / 40, K120 / 36), 0) &gt;= 7, 6, ROUNDUP(IF(K120 &gt; 132, K120 / 40, K120 / 36), 0))</f>
        <v>4</v>
      </c>
      <c r="O120" s="28">
        <f>L120*K120</f>
        <v>2640</v>
      </c>
      <c r="P120" s="28">
        <f>K120*M120</f>
        <v>4620</v>
      </c>
      <c r="Q120" s="7">
        <v>1</v>
      </c>
      <c r="R120" s="7">
        <v>0</v>
      </c>
      <c r="S120" s="7">
        <v>3</v>
      </c>
      <c r="T120" s="7">
        <v>0</v>
      </c>
      <c r="U120" s="30" t="s">
        <v>107</v>
      </c>
      <c r="V120" s="17">
        <v>1</v>
      </c>
    </row>
    <row r="121" spans="1:22">
      <c r="A121" s="1" t="s">
        <v>136</v>
      </c>
      <c r="B121" s="2" t="s">
        <v>137</v>
      </c>
      <c r="C121" s="1" t="s">
        <v>108</v>
      </c>
      <c r="D121" s="2" t="s">
        <v>88</v>
      </c>
      <c r="E121" s="15">
        <v>79</v>
      </c>
      <c r="F121" s="15">
        <v>76.349999999999994</v>
      </c>
      <c r="G121" s="15">
        <v>74.3</v>
      </c>
      <c r="H121" s="15">
        <v>80.2</v>
      </c>
      <c r="I121" s="7">
        <v>75.099999999999994</v>
      </c>
      <c r="J121" s="14">
        <f t="shared" si="1"/>
        <v>76.989999999999981</v>
      </c>
      <c r="K121" s="8">
        <v>132</v>
      </c>
      <c r="L121" s="8">
        <v>16</v>
      </c>
      <c r="M121" s="8">
        <v>40</v>
      </c>
      <c r="N121" s="14">
        <f>IF(ROUNDUP(IF(K121 &gt; 132, K121 / 40, K121 / 36), 0) &gt;= 7, 6, ROUNDUP(IF(K121 &gt; 132, K121 / 40, K121 / 36), 0))</f>
        <v>4</v>
      </c>
      <c r="O121" s="28">
        <f>L121*K121</f>
        <v>2112</v>
      </c>
      <c r="P121" s="28">
        <f>K121*M121</f>
        <v>5280</v>
      </c>
      <c r="Q121" s="7">
        <v>1</v>
      </c>
      <c r="R121" s="7">
        <v>2</v>
      </c>
      <c r="S121" s="7">
        <v>2</v>
      </c>
      <c r="T121" s="7">
        <v>0</v>
      </c>
      <c r="U121" s="30" t="s">
        <v>109</v>
      </c>
      <c r="V121" s="17">
        <v>1</v>
      </c>
    </row>
    <row r="122" spans="1:22">
      <c r="A122" s="1" t="s">
        <v>136</v>
      </c>
      <c r="B122" s="2" t="s">
        <v>137</v>
      </c>
      <c r="C122" s="1" t="s">
        <v>110</v>
      </c>
      <c r="D122" s="2" t="s">
        <v>88</v>
      </c>
      <c r="E122" s="15">
        <v>80.900000000000006</v>
      </c>
      <c r="F122" s="15">
        <v>76.650000000000006</v>
      </c>
      <c r="G122" s="15">
        <v>74.7</v>
      </c>
      <c r="H122" s="15">
        <v>86.3</v>
      </c>
      <c r="I122" s="7">
        <v>78.7</v>
      </c>
      <c r="J122" s="14">
        <f t="shared" si="1"/>
        <v>79.45</v>
      </c>
      <c r="K122" s="8">
        <v>132</v>
      </c>
      <c r="L122" s="8">
        <v>35</v>
      </c>
      <c r="M122" s="8">
        <v>50</v>
      </c>
      <c r="N122" s="14">
        <f>IF(ROUNDUP(IF(K122 &gt; 132, K122 / 40, K122 / 36), 0) &gt;= 7, 6, ROUNDUP(IF(K122 &gt; 132, K122 / 40, K122 / 36), 0))</f>
        <v>4</v>
      </c>
      <c r="O122" s="28">
        <f>L122*K122</f>
        <v>4620</v>
      </c>
      <c r="P122" s="28">
        <f>K122*M122</f>
        <v>6600</v>
      </c>
      <c r="Q122" s="7">
        <v>1</v>
      </c>
      <c r="R122" s="7">
        <v>2</v>
      </c>
      <c r="S122" s="7">
        <v>2</v>
      </c>
      <c r="T122" s="7">
        <v>1</v>
      </c>
      <c r="U122" s="30" t="s">
        <v>111</v>
      </c>
      <c r="V122" s="17">
        <v>1</v>
      </c>
    </row>
    <row r="123" spans="1:22">
      <c r="A123" s="1" t="s">
        <v>136</v>
      </c>
      <c r="B123" s="2" t="s">
        <v>137</v>
      </c>
      <c r="C123" s="1" t="s">
        <v>112</v>
      </c>
      <c r="D123" s="30" t="s">
        <v>113</v>
      </c>
      <c r="E123" s="15">
        <v>96.5</v>
      </c>
      <c r="F123" s="15">
        <v>92.5</v>
      </c>
      <c r="G123" s="15">
        <v>92</v>
      </c>
      <c r="H123" s="15">
        <v>93.7</v>
      </c>
      <c r="I123" s="7">
        <v>90.3</v>
      </c>
      <c r="J123" s="14">
        <f t="shared" si="1"/>
        <v>93</v>
      </c>
      <c r="K123" s="8">
        <v>141</v>
      </c>
      <c r="L123" s="8">
        <v>35</v>
      </c>
      <c r="M123" s="8">
        <v>60</v>
      </c>
      <c r="N123" s="14">
        <f>IF(ROUNDUP(IF(K123 &gt; 132, K123 / 40, K123 / 36), 0) &gt;= 7, 6, ROUNDUP(IF(K123 &gt; 132, K123 / 40, K123 / 36), 0))</f>
        <v>4</v>
      </c>
      <c r="O123" s="28">
        <f>L123*K123</f>
        <v>4935</v>
      </c>
      <c r="P123" s="28">
        <f>K123*M123</f>
        <v>8460</v>
      </c>
      <c r="Q123" s="7">
        <v>0</v>
      </c>
      <c r="R123" s="7">
        <v>1</v>
      </c>
      <c r="S123" s="7">
        <v>4</v>
      </c>
      <c r="T123" s="7">
        <v>1</v>
      </c>
      <c r="U123" s="30" t="s">
        <v>114</v>
      </c>
      <c r="V123" s="15">
        <v>1</v>
      </c>
    </row>
    <row r="124" spans="1:22">
      <c r="A124" s="1" t="s">
        <v>136</v>
      </c>
      <c r="B124" s="2" t="s">
        <v>137</v>
      </c>
      <c r="C124" s="1" t="s">
        <v>115</v>
      </c>
      <c r="D124" s="2" t="s">
        <v>113</v>
      </c>
      <c r="E124" s="15">
        <v>83.3</v>
      </c>
      <c r="F124" s="15">
        <v>77.55</v>
      </c>
      <c r="G124" s="15">
        <v>78.349999999999994</v>
      </c>
      <c r="H124" s="15">
        <v>80.599999999999994</v>
      </c>
      <c r="I124" s="7">
        <v>75.099999999999994</v>
      </c>
      <c r="J124" s="14">
        <f t="shared" si="1"/>
        <v>78.97999999999999</v>
      </c>
      <c r="K124" s="8">
        <v>132</v>
      </c>
      <c r="L124" s="8">
        <v>16</v>
      </c>
      <c r="M124" s="8">
        <v>40</v>
      </c>
      <c r="N124" s="14">
        <f>IF(ROUNDUP(IF(K124 &gt; 132, K124 / 40, K124 / 36), 0) &gt;= 7, 6, ROUNDUP(IF(K124 &gt; 132, K124 / 40, K124 / 36), 0))</f>
        <v>4</v>
      </c>
      <c r="O124" s="28">
        <f>L124*K124</f>
        <v>2112</v>
      </c>
      <c r="P124" s="28">
        <f>K124*M124</f>
        <v>5280</v>
      </c>
      <c r="Q124" s="7">
        <v>0</v>
      </c>
      <c r="R124" s="7">
        <v>0</v>
      </c>
      <c r="S124" s="7">
        <v>3</v>
      </c>
      <c r="T124" s="7">
        <v>0</v>
      </c>
      <c r="U124" s="30" t="s">
        <v>116</v>
      </c>
      <c r="V124" s="17">
        <v>1</v>
      </c>
    </row>
    <row r="125" spans="1:22">
      <c r="A125" s="1" t="s">
        <v>136</v>
      </c>
      <c r="B125" s="2" t="s">
        <v>137</v>
      </c>
      <c r="C125" s="1" t="s">
        <v>117</v>
      </c>
      <c r="D125" s="2" t="s">
        <v>113</v>
      </c>
      <c r="E125" s="15">
        <v>90.5</v>
      </c>
      <c r="F125" s="15">
        <v>82</v>
      </c>
      <c r="G125" s="15">
        <v>84.15</v>
      </c>
      <c r="H125" s="15">
        <v>84.15</v>
      </c>
      <c r="I125" s="7">
        <v>78.3</v>
      </c>
      <c r="J125" s="14">
        <f t="shared" si="1"/>
        <v>83.82</v>
      </c>
      <c r="K125" s="8">
        <v>132</v>
      </c>
      <c r="L125" s="8">
        <v>16</v>
      </c>
      <c r="M125" s="8">
        <v>40</v>
      </c>
      <c r="N125" s="14">
        <f>IF(ROUNDUP(IF(K125 &gt; 132, K125 / 40, K125 / 36), 0) &gt;= 7, 6, ROUNDUP(IF(K125 &gt; 132, K125 / 40, K125 / 36), 0))</f>
        <v>4</v>
      </c>
      <c r="O125" s="28">
        <f>L125*K125</f>
        <v>2112</v>
      </c>
      <c r="P125" s="28">
        <f>K125*M125</f>
        <v>5280</v>
      </c>
      <c r="Q125" s="7">
        <v>0</v>
      </c>
      <c r="R125" s="7">
        <v>0</v>
      </c>
      <c r="S125" s="7">
        <v>3</v>
      </c>
      <c r="T125" s="7">
        <v>0</v>
      </c>
      <c r="U125" s="30" t="s">
        <v>118</v>
      </c>
      <c r="V125" s="17">
        <v>1</v>
      </c>
    </row>
    <row r="126" spans="1:22">
      <c r="A126" s="1" t="s">
        <v>136</v>
      </c>
      <c r="B126" s="2" t="s">
        <v>137</v>
      </c>
      <c r="C126" s="1" t="s">
        <v>119</v>
      </c>
      <c r="D126" s="30" t="s">
        <v>120</v>
      </c>
      <c r="E126" s="15">
        <v>91.5</v>
      </c>
      <c r="F126" s="15">
        <v>88.5</v>
      </c>
      <c r="G126" s="15">
        <v>91.5</v>
      </c>
      <c r="H126" s="15">
        <v>89.6</v>
      </c>
      <c r="I126" s="7">
        <v>82</v>
      </c>
      <c r="J126" s="14">
        <f t="shared" si="1"/>
        <v>88.62</v>
      </c>
      <c r="K126" s="8">
        <v>132</v>
      </c>
      <c r="L126" s="8">
        <v>30</v>
      </c>
      <c r="M126" s="8">
        <v>50</v>
      </c>
      <c r="N126" s="14">
        <f>IF(ROUNDUP(IF(K126 &gt; 132, K126 / 40, K126 / 36), 0) &gt;= 7, 6, ROUNDUP(IF(K126 &gt; 132, K126 / 40, K126 / 36), 0))</f>
        <v>4</v>
      </c>
      <c r="O126" s="28">
        <f>L126*K126</f>
        <v>3960</v>
      </c>
      <c r="P126" s="28">
        <f>K126*M126</f>
        <v>6600</v>
      </c>
      <c r="Q126" s="7">
        <v>1</v>
      </c>
      <c r="R126" s="7">
        <v>2</v>
      </c>
      <c r="S126" s="7">
        <v>2</v>
      </c>
      <c r="T126" s="7">
        <v>1</v>
      </c>
      <c r="U126" s="30" t="s">
        <v>121</v>
      </c>
      <c r="V126" s="17">
        <v>1</v>
      </c>
    </row>
    <row r="127" spans="1:22">
      <c r="A127" s="1" t="s">
        <v>136</v>
      </c>
      <c r="B127" s="2" t="s">
        <v>137</v>
      </c>
      <c r="C127" s="1" t="s">
        <v>122</v>
      </c>
      <c r="D127" s="2" t="s">
        <v>120</v>
      </c>
      <c r="E127" s="15">
        <v>88.7</v>
      </c>
      <c r="F127" s="15">
        <v>84.75</v>
      </c>
      <c r="G127" s="15">
        <v>88.35</v>
      </c>
      <c r="H127" s="15">
        <v>90.95</v>
      </c>
      <c r="I127" s="7">
        <v>85</v>
      </c>
      <c r="J127" s="14">
        <f t="shared" si="1"/>
        <v>87.549999999999983</v>
      </c>
      <c r="K127" s="8">
        <v>132</v>
      </c>
      <c r="L127" s="8">
        <v>30</v>
      </c>
      <c r="M127" s="8">
        <v>60</v>
      </c>
      <c r="N127" s="14">
        <f>IF(ROUNDUP(IF(K127 &gt; 132, K127 / 40, K127 / 36), 0) &gt;= 7, 6, ROUNDUP(IF(K127 &gt; 132, K127 / 40, K127 / 36), 0))</f>
        <v>4</v>
      </c>
      <c r="O127" s="28">
        <f>L127*K127</f>
        <v>3960</v>
      </c>
      <c r="P127" s="28">
        <f>K127*M127</f>
        <v>7920</v>
      </c>
      <c r="Q127" s="7">
        <v>1</v>
      </c>
      <c r="R127" s="7">
        <v>2</v>
      </c>
      <c r="S127" s="7">
        <v>3</v>
      </c>
      <c r="T127" s="7">
        <v>1</v>
      </c>
      <c r="U127" s="30" t="s">
        <v>123</v>
      </c>
      <c r="V127" s="17">
        <v>1</v>
      </c>
    </row>
    <row r="128" spans="1:22">
      <c r="A128" s="1" t="s">
        <v>136</v>
      </c>
      <c r="B128" s="2" t="s">
        <v>137</v>
      </c>
      <c r="C128" s="1" t="s">
        <v>124</v>
      </c>
      <c r="D128" s="2" t="s">
        <v>120</v>
      </c>
      <c r="E128" s="15">
        <v>86</v>
      </c>
      <c r="F128" s="15">
        <v>81.099999999999994</v>
      </c>
      <c r="G128" s="15">
        <v>86.75</v>
      </c>
      <c r="H128" s="15">
        <v>91.85</v>
      </c>
      <c r="I128" s="7">
        <v>82</v>
      </c>
      <c r="J128" s="14">
        <f t="shared" si="1"/>
        <v>85.539999999999992</v>
      </c>
      <c r="K128" s="8">
        <v>132</v>
      </c>
      <c r="L128" s="8">
        <v>30</v>
      </c>
      <c r="M128" s="8">
        <v>50</v>
      </c>
      <c r="N128" s="14">
        <f>IF(ROUNDUP(IF(K128 &gt; 132, K128 / 40, K128 / 36), 0) &gt;= 7, 6, ROUNDUP(IF(K128 &gt; 132, K128 / 40, K128 / 36), 0))</f>
        <v>4</v>
      </c>
      <c r="O128" s="28">
        <f>L128*K128</f>
        <v>3960</v>
      </c>
      <c r="P128" s="28">
        <f>K128*M128</f>
        <v>6600</v>
      </c>
      <c r="Q128" s="7">
        <v>1</v>
      </c>
      <c r="R128" s="7">
        <v>2</v>
      </c>
      <c r="S128" s="7">
        <v>3</v>
      </c>
      <c r="T128" s="7">
        <v>2</v>
      </c>
      <c r="U128" s="30" t="s">
        <v>125</v>
      </c>
      <c r="V128" s="17">
        <v>1</v>
      </c>
    </row>
    <row r="129" spans="1:22">
      <c r="A129" s="1" t="s">
        <v>136</v>
      </c>
      <c r="B129" s="2" t="s">
        <v>137</v>
      </c>
      <c r="C129" s="1" t="s">
        <v>126</v>
      </c>
      <c r="D129" s="2" t="s">
        <v>120</v>
      </c>
      <c r="E129" s="15">
        <v>86.5</v>
      </c>
      <c r="F129" s="15">
        <v>89</v>
      </c>
      <c r="G129" s="15">
        <v>90</v>
      </c>
      <c r="H129" s="15">
        <v>91.85</v>
      </c>
      <c r="I129" s="7">
        <v>80</v>
      </c>
      <c r="J129" s="14">
        <f t="shared" si="1"/>
        <v>87.47</v>
      </c>
      <c r="K129" s="8">
        <v>132</v>
      </c>
      <c r="L129" s="8">
        <v>30</v>
      </c>
      <c r="M129" s="8">
        <v>50</v>
      </c>
      <c r="N129" s="14">
        <f>IF(ROUNDUP(IF(K129 &gt; 132, K129 / 40, K129 / 36), 0) &gt;= 7, 6, ROUNDUP(IF(K129 &gt; 132, K129 / 40, K129 / 36), 0))</f>
        <v>4</v>
      </c>
      <c r="O129" s="28">
        <f>L129*K129</f>
        <v>3960</v>
      </c>
      <c r="P129" s="28">
        <f>K129*M129</f>
        <v>6600</v>
      </c>
      <c r="Q129" s="7">
        <v>1</v>
      </c>
      <c r="R129" s="7">
        <v>2</v>
      </c>
      <c r="S129" s="7">
        <v>2</v>
      </c>
      <c r="T129" s="7">
        <v>2</v>
      </c>
      <c r="U129" s="30" t="s">
        <v>127</v>
      </c>
      <c r="V129" s="17">
        <v>1</v>
      </c>
    </row>
    <row r="130" spans="1:22">
      <c r="A130" s="1" t="s">
        <v>136</v>
      </c>
      <c r="B130" s="2" t="s">
        <v>137</v>
      </c>
      <c r="C130" s="1" t="s">
        <v>128</v>
      </c>
      <c r="D130" s="2" t="s">
        <v>120</v>
      </c>
      <c r="E130" s="15">
        <v>85.7</v>
      </c>
      <c r="F130" s="15">
        <v>79.599999999999994</v>
      </c>
      <c r="G130" s="15">
        <v>80.849999999999994</v>
      </c>
      <c r="H130" s="15">
        <v>89.6</v>
      </c>
      <c r="I130" s="7">
        <v>84</v>
      </c>
      <c r="J130" s="14">
        <f t="shared" si="1"/>
        <v>83.95</v>
      </c>
      <c r="K130" s="8">
        <v>132</v>
      </c>
      <c r="L130" s="8">
        <v>30</v>
      </c>
      <c r="M130" s="8">
        <v>45</v>
      </c>
      <c r="N130" s="14">
        <f>IF(ROUNDUP(IF(K130 &gt; 132, K130 / 40, K130 / 36), 0) &gt;= 7, 6, ROUNDUP(IF(K130 &gt; 132, K130 / 40, K130 / 36), 0))</f>
        <v>4</v>
      </c>
      <c r="O130" s="28">
        <f>L130*K130</f>
        <v>3960</v>
      </c>
      <c r="P130" s="28">
        <f>K130*M130</f>
        <v>5940</v>
      </c>
      <c r="Q130" s="7">
        <v>1</v>
      </c>
      <c r="R130" s="7">
        <v>2</v>
      </c>
      <c r="S130" s="7">
        <v>3</v>
      </c>
      <c r="T130" s="7">
        <v>2</v>
      </c>
      <c r="U130" s="30" t="s">
        <v>129</v>
      </c>
      <c r="V130" s="15">
        <v>1</v>
      </c>
    </row>
    <row r="131" spans="1:22">
      <c r="A131" s="1" t="s">
        <v>136</v>
      </c>
      <c r="B131" s="2" t="s">
        <v>137</v>
      </c>
      <c r="C131" s="1" t="s">
        <v>130</v>
      </c>
      <c r="D131" s="2" t="s">
        <v>120</v>
      </c>
      <c r="E131" s="15">
        <v>83.8</v>
      </c>
      <c r="F131" s="15">
        <v>77.900000000000006</v>
      </c>
      <c r="G131" s="15">
        <v>81.25</v>
      </c>
      <c r="H131" s="15">
        <v>82.5</v>
      </c>
      <c r="I131" s="7">
        <v>85.3</v>
      </c>
      <c r="J131" s="14">
        <f t="shared" ref="J131:J194" si="2">AVERAGE(E131:I131)</f>
        <v>82.15</v>
      </c>
      <c r="K131" s="8">
        <v>132</v>
      </c>
      <c r="L131" s="8">
        <v>30</v>
      </c>
      <c r="M131" s="8">
        <v>40</v>
      </c>
      <c r="N131" s="14">
        <f>IF(ROUNDUP(IF(K131 &gt; 132, K131 / 40, K131 / 36), 0) &gt;= 7, 6, ROUNDUP(IF(K131 &gt; 132, K131 / 40, K131 / 36), 0))</f>
        <v>4</v>
      </c>
      <c r="O131" s="28">
        <f>L131*K131</f>
        <v>3960</v>
      </c>
      <c r="P131" s="28">
        <f>K131*M131</f>
        <v>5280</v>
      </c>
      <c r="Q131" s="7">
        <v>1</v>
      </c>
      <c r="R131" s="7">
        <v>2</v>
      </c>
      <c r="S131" s="7">
        <v>2</v>
      </c>
      <c r="T131" s="7">
        <v>0</v>
      </c>
      <c r="U131" s="30" t="s">
        <v>131</v>
      </c>
      <c r="V131" s="17">
        <v>1</v>
      </c>
    </row>
    <row r="132" spans="1:22">
      <c r="A132" s="1" t="s">
        <v>136</v>
      </c>
      <c r="B132" s="2" t="s">
        <v>137</v>
      </c>
      <c r="C132" s="1" t="s">
        <v>132</v>
      </c>
      <c r="D132" s="2" t="s">
        <v>120</v>
      </c>
      <c r="E132" s="15">
        <v>84.2</v>
      </c>
      <c r="F132" s="15">
        <v>77.95</v>
      </c>
      <c r="G132" s="15">
        <v>78.5</v>
      </c>
      <c r="H132" s="15">
        <v>85.3</v>
      </c>
      <c r="I132" s="7">
        <v>84.6</v>
      </c>
      <c r="J132" s="14">
        <f t="shared" si="2"/>
        <v>82.109999999999985</v>
      </c>
      <c r="K132" s="8">
        <v>132</v>
      </c>
      <c r="L132" s="8">
        <v>30</v>
      </c>
      <c r="M132" s="8">
        <v>50</v>
      </c>
      <c r="N132" s="14">
        <f>IF(ROUNDUP(IF(K132 &gt; 132, K132 / 40, K132 / 36), 0) &gt;= 7, 6, ROUNDUP(IF(K132 &gt; 132, K132 / 40, K132 / 36), 0))</f>
        <v>4</v>
      </c>
      <c r="O132" s="28">
        <f>L132*K132</f>
        <v>3960</v>
      </c>
      <c r="P132" s="28">
        <f>K132*M132</f>
        <v>6600</v>
      </c>
      <c r="Q132" s="7">
        <v>0</v>
      </c>
      <c r="R132" s="7">
        <v>1</v>
      </c>
      <c r="S132" s="7">
        <v>3</v>
      </c>
      <c r="T132" s="7">
        <v>1</v>
      </c>
      <c r="U132" s="30" t="s">
        <v>133</v>
      </c>
      <c r="V132" s="17">
        <v>1</v>
      </c>
    </row>
    <row r="133" spans="1:22">
      <c r="A133" s="30" t="s">
        <v>138</v>
      </c>
      <c r="B133" s="2" t="s">
        <v>139</v>
      </c>
      <c r="C133" s="32" t="s">
        <v>24</v>
      </c>
      <c r="D133" s="32" t="s">
        <v>25</v>
      </c>
      <c r="E133" s="21">
        <v>98.2</v>
      </c>
      <c r="F133" s="21">
        <v>93.55</v>
      </c>
      <c r="G133" s="21">
        <v>94.95</v>
      </c>
      <c r="H133" s="21">
        <v>96.65</v>
      </c>
      <c r="I133" s="7">
        <v>96.7</v>
      </c>
      <c r="J133" s="14">
        <f t="shared" si="2"/>
        <v>96.01</v>
      </c>
      <c r="K133" s="28">
        <v>257</v>
      </c>
      <c r="L133" s="8">
        <v>100</v>
      </c>
      <c r="M133" s="8">
        <v>150</v>
      </c>
      <c r="N133" s="14">
        <f>IF(ROUNDUP(IF(K133 &gt; 132, K133 / 40, K133 / 36), 0) &gt;= 7, 6, ROUNDUP(IF(K133 &gt; 132, K133 / 40, K133 / 36), 0))</f>
        <v>6</v>
      </c>
      <c r="O133" s="28">
        <f>L133*K133</f>
        <v>25700</v>
      </c>
      <c r="P133" s="28">
        <f>K133*M133</f>
        <v>38550</v>
      </c>
      <c r="Q133" s="7">
        <v>1</v>
      </c>
      <c r="R133" s="16">
        <v>3</v>
      </c>
      <c r="S133" s="16">
        <v>4</v>
      </c>
      <c r="T133" s="34">
        <v>1</v>
      </c>
      <c r="U133" s="32" t="s">
        <v>26</v>
      </c>
      <c r="V133" s="17">
        <v>1</v>
      </c>
    </row>
    <row r="134" spans="1:22">
      <c r="A134" s="2" t="s">
        <v>138</v>
      </c>
      <c r="B134" s="2" t="s">
        <v>139</v>
      </c>
      <c r="C134" s="32" t="s">
        <v>27</v>
      </c>
      <c r="D134" s="32" t="s">
        <v>25</v>
      </c>
      <c r="E134" s="18">
        <v>98</v>
      </c>
      <c r="F134" s="18">
        <v>98</v>
      </c>
      <c r="G134" s="18">
        <v>95.5</v>
      </c>
      <c r="H134" s="18">
        <v>95.5</v>
      </c>
      <c r="I134" s="7">
        <v>95.5</v>
      </c>
      <c r="J134" s="14">
        <f t="shared" si="2"/>
        <v>96.5</v>
      </c>
      <c r="K134" s="28">
        <v>198</v>
      </c>
      <c r="L134" s="8">
        <v>150</v>
      </c>
      <c r="M134" s="8">
        <v>225</v>
      </c>
      <c r="N134" s="14">
        <f>IF(ROUNDUP(IF(K134 &gt; 132, K134 / 40, K134 / 36), 0) &gt;= 7, 6, ROUNDUP(IF(K134 &gt; 132, K134 / 40, K134 / 36), 0))</f>
        <v>5</v>
      </c>
      <c r="O134" s="28">
        <f>L134*K134</f>
        <v>29700</v>
      </c>
      <c r="P134" s="28">
        <f>K134*M134</f>
        <v>44550</v>
      </c>
      <c r="Q134" s="7">
        <v>1</v>
      </c>
      <c r="R134" s="16">
        <v>3</v>
      </c>
      <c r="S134" s="16">
        <v>4</v>
      </c>
      <c r="T134" s="34">
        <v>1</v>
      </c>
      <c r="U134" s="32" t="s">
        <v>28</v>
      </c>
      <c r="V134" s="17">
        <v>1</v>
      </c>
    </row>
    <row r="135" spans="1:22">
      <c r="A135" s="2" t="s">
        <v>138</v>
      </c>
      <c r="B135" s="2" t="s">
        <v>139</v>
      </c>
      <c r="C135" s="32" t="s">
        <v>29</v>
      </c>
      <c r="D135" s="32" t="s">
        <v>25</v>
      </c>
      <c r="E135" s="21">
        <v>97</v>
      </c>
      <c r="F135" s="21">
        <v>91.45</v>
      </c>
      <c r="G135" s="21">
        <v>93.6</v>
      </c>
      <c r="H135" s="21">
        <v>94.55</v>
      </c>
      <c r="I135" s="7">
        <v>94.2</v>
      </c>
      <c r="J135" s="14">
        <f t="shared" si="2"/>
        <v>94.16</v>
      </c>
      <c r="K135" s="28">
        <v>165</v>
      </c>
      <c r="L135" s="8">
        <v>60</v>
      </c>
      <c r="M135" s="8">
        <v>90</v>
      </c>
      <c r="N135" s="14">
        <f>IF(ROUNDUP(IF(K135 &gt; 132, K135 / 40, K135 / 36), 0) &gt;= 7, 6, ROUNDUP(IF(K135 &gt; 132, K135 / 40, K135 / 36), 0))</f>
        <v>5</v>
      </c>
      <c r="O135" s="28">
        <f>L135*K135</f>
        <v>9900</v>
      </c>
      <c r="P135" s="28">
        <f>K135*M135</f>
        <v>14850</v>
      </c>
      <c r="Q135" s="7">
        <v>1</v>
      </c>
      <c r="R135" s="16">
        <v>3</v>
      </c>
      <c r="S135" s="16">
        <v>3</v>
      </c>
      <c r="T135" s="34">
        <v>1</v>
      </c>
      <c r="U135" s="32" t="s">
        <v>30</v>
      </c>
      <c r="V135" s="17">
        <v>1</v>
      </c>
    </row>
    <row r="136" spans="1:22">
      <c r="A136" s="2" t="s">
        <v>138</v>
      </c>
      <c r="B136" s="2" t="s">
        <v>139</v>
      </c>
      <c r="C136" s="32" t="s">
        <v>31</v>
      </c>
      <c r="D136" s="32" t="s">
        <v>25</v>
      </c>
      <c r="E136" s="18">
        <v>94.7</v>
      </c>
      <c r="F136" s="21">
        <v>85.95</v>
      </c>
      <c r="G136" s="21">
        <v>89.4</v>
      </c>
      <c r="H136" s="21">
        <v>91.7</v>
      </c>
      <c r="I136" s="7">
        <v>88.4</v>
      </c>
      <c r="J136" s="14">
        <f t="shared" si="2"/>
        <v>90.03</v>
      </c>
      <c r="K136" s="28">
        <v>135</v>
      </c>
      <c r="L136" s="8">
        <v>40</v>
      </c>
      <c r="M136" s="8">
        <v>60</v>
      </c>
      <c r="N136" s="14">
        <f>IF(ROUNDUP(IF(K136 &gt; 132, K136 / 40, K136 / 36), 0) &gt;= 7, 6, ROUNDUP(IF(K136 &gt; 132, K136 / 40, K136 / 36), 0))</f>
        <v>4</v>
      </c>
      <c r="O136" s="28">
        <f>L136*K136</f>
        <v>5400</v>
      </c>
      <c r="P136" s="28">
        <f>K136*M136</f>
        <v>8100</v>
      </c>
      <c r="Q136" s="7">
        <v>1</v>
      </c>
      <c r="R136" s="16">
        <v>3</v>
      </c>
      <c r="S136" s="16">
        <v>3</v>
      </c>
      <c r="T136" s="34">
        <v>2</v>
      </c>
      <c r="U136" s="30" t="s">
        <v>32</v>
      </c>
      <c r="V136" s="17">
        <v>1</v>
      </c>
    </row>
    <row r="137" spans="1:22">
      <c r="A137" s="2" t="s">
        <v>138</v>
      </c>
      <c r="B137" s="2" t="s">
        <v>139</v>
      </c>
      <c r="C137" s="32" t="s">
        <v>33</v>
      </c>
      <c r="D137" s="32" t="s">
        <v>25</v>
      </c>
      <c r="E137" s="21">
        <v>94.7</v>
      </c>
      <c r="F137" s="21">
        <v>82.75</v>
      </c>
      <c r="G137" s="21">
        <v>88.1</v>
      </c>
      <c r="H137" s="21">
        <v>89.4</v>
      </c>
      <c r="I137" s="7">
        <v>86.95</v>
      </c>
      <c r="J137" s="14">
        <f t="shared" si="2"/>
        <v>88.379999999999981</v>
      </c>
      <c r="K137" s="28">
        <v>132</v>
      </c>
      <c r="L137" s="8">
        <v>45</v>
      </c>
      <c r="M137" s="8">
        <v>75</v>
      </c>
      <c r="N137" s="14">
        <f>IF(ROUNDUP(IF(K137 &gt; 132, K137 / 40, K137 / 36), 0) &gt;= 7, 6, ROUNDUP(IF(K137 &gt; 132, K137 / 40, K137 / 36), 0))</f>
        <v>4</v>
      </c>
      <c r="O137" s="28">
        <f>L137*K137</f>
        <v>5940</v>
      </c>
      <c r="P137" s="28">
        <f>K137*M137</f>
        <v>9900</v>
      </c>
      <c r="Q137" s="7">
        <v>1</v>
      </c>
      <c r="R137" s="16">
        <v>4</v>
      </c>
      <c r="S137" s="16">
        <v>3</v>
      </c>
      <c r="T137" s="34">
        <v>1</v>
      </c>
      <c r="U137" s="32" t="s">
        <v>34</v>
      </c>
      <c r="V137" s="15">
        <v>1</v>
      </c>
    </row>
    <row r="138" spans="1:22">
      <c r="A138" s="2" t="s">
        <v>138</v>
      </c>
      <c r="B138" s="2" t="s">
        <v>139</v>
      </c>
      <c r="C138" s="32" t="s">
        <v>39</v>
      </c>
      <c r="D138" s="32" t="s">
        <v>25</v>
      </c>
      <c r="E138" s="18">
        <v>95.7</v>
      </c>
      <c r="F138" s="18">
        <v>95.7</v>
      </c>
      <c r="G138" s="18">
        <v>94.2</v>
      </c>
      <c r="H138" s="18">
        <v>95.7</v>
      </c>
      <c r="I138" s="7">
        <v>94.2</v>
      </c>
      <c r="J138" s="14">
        <f t="shared" si="2"/>
        <v>95.1</v>
      </c>
      <c r="K138" s="28">
        <v>219</v>
      </c>
      <c r="L138" s="8">
        <v>60</v>
      </c>
      <c r="M138" s="8">
        <v>100</v>
      </c>
      <c r="N138" s="14">
        <f>IF(ROUNDUP(IF(K138 &gt; 132, K138 / 40, K138 / 36), 0) &gt;= 7, 6, ROUNDUP(IF(K138 &gt; 132, K138 / 40, K138 / 36), 0))</f>
        <v>6</v>
      </c>
      <c r="O138" s="28">
        <f>L138*K138</f>
        <v>13140</v>
      </c>
      <c r="P138" s="28">
        <f>K138*M138</f>
        <v>21900</v>
      </c>
      <c r="Q138" s="7">
        <v>1</v>
      </c>
      <c r="R138" s="16">
        <v>3</v>
      </c>
      <c r="S138" s="16">
        <v>4</v>
      </c>
      <c r="T138" s="34">
        <v>1</v>
      </c>
      <c r="U138" s="2" t="s">
        <v>40</v>
      </c>
      <c r="V138" s="17">
        <v>1</v>
      </c>
    </row>
    <row r="139" spans="1:22">
      <c r="A139" s="2" t="s">
        <v>138</v>
      </c>
      <c r="B139" s="2" t="s">
        <v>139</v>
      </c>
      <c r="C139" s="35" t="s">
        <v>41</v>
      </c>
      <c r="D139" s="35" t="s">
        <v>42</v>
      </c>
      <c r="E139" s="21">
        <v>95.1</v>
      </c>
      <c r="F139" s="21">
        <v>86.07</v>
      </c>
      <c r="G139" s="21">
        <v>86.3</v>
      </c>
      <c r="H139" s="21">
        <v>92.3</v>
      </c>
      <c r="I139" s="7">
        <v>89</v>
      </c>
      <c r="J139" s="14">
        <f t="shared" si="2"/>
        <v>89.753999999999991</v>
      </c>
      <c r="K139" s="28">
        <v>171</v>
      </c>
      <c r="L139" s="8">
        <v>50</v>
      </c>
      <c r="M139" s="8">
        <v>75</v>
      </c>
      <c r="N139" s="14">
        <f>IF(ROUNDUP(IF(K139 &gt; 132, K139 / 40, K139 / 36), 0) &gt;= 7, 6, ROUNDUP(IF(K139 &gt; 132, K139 / 40, K139 / 36), 0))</f>
        <v>5</v>
      </c>
      <c r="O139" s="28">
        <f>L139*K139</f>
        <v>8550</v>
      </c>
      <c r="P139" s="28">
        <f>K139*M139</f>
        <v>12825</v>
      </c>
      <c r="Q139" s="7">
        <v>1</v>
      </c>
      <c r="R139" s="16">
        <v>3</v>
      </c>
      <c r="S139" s="16">
        <v>3</v>
      </c>
      <c r="T139" s="16">
        <v>1</v>
      </c>
      <c r="U139" s="30" t="s">
        <v>43</v>
      </c>
      <c r="V139" s="17">
        <v>1</v>
      </c>
    </row>
    <row r="140" spans="1:22">
      <c r="A140" s="2" t="s">
        <v>138</v>
      </c>
      <c r="B140" s="2" t="s">
        <v>139</v>
      </c>
      <c r="C140" s="30" t="s">
        <v>44</v>
      </c>
      <c r="D140" s="35" t="s">
        <v>42</v>
      </c>
      <c r="E140" s="21">
        <v>93.8</v>
      </c>
      <c r="F140" s="21">
        <v>80.2</v>
      </c>
      <c r="G140" s="21">
        <v>80.05</v>
      </c>
      <c r="H140" s="21">
        <v>85.8</v>
      </c>
      <c r="I140" s="7">
        <v>80.05</v>
      </c>
      <c r="J140" s="14">
        <f t="shared" si="2"/>
        <v>83.98</v>
      </c>
      <c r="K140" s="8">
        <v>160</v>
      </c>
      <c r="L140" s="8">
        <v>40</v>
      </c>
      <c r="M140" s="8">
        <v>55</v>
      </c>
      <c r="N140" s="14">
        <f>IF(ROUNDUP(IF(K140 &gt; 132, K140 / 40, K140 / 36), 0) &gt;= 7, 6, ROUNDUP(IF(K140 &gt; 132, K140 / 40, K140 / 36), 0))</f>
        <v>4</v>
      </c>
      <c r="O140" s="28">
        <f>L140*K140</f>
        <v>6400</v>
      </c>
      <c r="P140" s="28">
        <f>K140*M140</f>
        <v>8800</v>
      </c>
      <c r="Q140" s="7">
        <v>1</v>
      </c>
      <c r="R140" s="16">
        <v>4</v>
      </c>
      <c r="S140" s="7">
        <v>3</v>
      </c>
      <c r="T140" s="7">
        <v>1</v>
      </c>
      <c r="U140" s="30" t="s">
        <v>45</v>
      </c>
      <c r="V140" s="17">
        <v>1</v>
      </c>
    </row>
    <row r="141" spans="1:22">
      <c r="A141" s="2" t="s">
        <v>138</v>
      </c>
      <c r="B141" s="2" t="s">
        <v>139</v>
      </c>
      <c r="C141" s="30" t="s">
        <v>46</v>
      </c>
      <c r="D141" s="35" t="s">
        <v>42</v>
      </c>
      <c r="E141" s="21">
        <v>87.3</v>
      </c>
      <c r="F141" s="21">
        <v>80.3</v>
      </c>
      <c r="G141" s="21">
        <v>81.150000000000006</v>
      </c>
      <c r="H141" s="21">
        <v>82.65</v>
      </c>
      <c r="I141" s="7">
        <v>80.05</v>
      </c>
      <c r="J141" s="14">
        <f t="shared" si="2"/>
        <v>82.289999999999992</v>
      </c>
      <c r="K141" s="8">
        <v>160</v>
      </c>
      <c r="L141" s="8">
        <v>40</v>
      </c>
      <c r="M141" s="8">
        <v>55</v>
      </c>
      <c r="N141" s="14">
        <f>IF(ROUNDUP(IF(K141 &gt; 132, K141 / 40, K141 / 36), 0) &gt;= 7, 6, ROUNDUP(IF(K141 &gt; 132, K141 / 40, K141 / 36), 0))</f>
        <v>4</v>
      </c>
      <c r="O141" s="28">
        <f>L141*K141</f>
        <v>6400</v>
      </c>
      <c r="P141" s="28">
        <f>K141*M141</f>
        <v>8800</v>
      </c>
      <c r="Q141" s="7">
        <v>1</v>
      </c>
      <c r="R141" s="16">
        <v>3</v>
      </c>
      <c r="S141" s="7">
        <v>4</v>
      </c>
      <c r="T141" s="7">
        <v>2</v>
      </c>
      <c r="U141" s="30" t="s">
        <v>47</v>
      </c>
      <c r="V141" s="17">
        <v>1</v>
      </c>
    </row>
    <row r="142" spans="1:22">
      <c r="A142" s="2" t="s">
        <v>138</v>
      </c>
      <c r="B142" s="2" t="s">
        <v>139</v>
      </c>
      <c r="C142" s="30" t="s">
        <v>48</v>
      </c>
      <c r="D142" s="35" t="s">
        <v>42</v>
      </c>
      <c r="E142" s="21">
        <v>88.6</v>
      </c>
      <c r="F142" s="21">
        <v>80</v>
      </c>
      <c r="G142" s="21">
        <v>80.05</v>
      </c>
      <c r="H142" s="21">
        <v>84.3</v>
      </c>
      <c r="I142" s="7">
        <v>80.05</v>
      </c>
      <c r="J142" s="14">
        <f t="shared" si="2"/>
        <v>82.6</v>
      </c>
      <c r="K142" s="8">
        <v>160</v>
      </c>
      <c r="L142" s="8">
        <v>40</v>
      </c>
      <c r="M142" s="8">
        <v>55</v>
      </c>
      <c r="N142" s="14">
        <f>IF(ROUNDUP(IF(K142 &gt; 132, K142 / 40, K142 / 36), 0) &gt;= 7, 6, ROUNDUP(IF(K142 &gt; 132, K142 / 40, K142 / 36), 0))</f>
        <v>4</v>
      </c>
      <c r="O142" s="28">
        <f>L142*K142</f>
        <v>6400</v>
      </c>
      <c r="P142" s="28">
        <f>K142*M142</f>
        <v>8800</v>
      </c>
      <c r="Q142" s="7">
        <v>1</v>
      </c>
      <c r="R142" s="7">
        <v>2</v>
      </c>
      <c r="S142" s="7">
        <v>3</v>
      </c>
      <c r="T142" s="7">
        <v>1</v>
      </c>
      <c r="U142" s="30" t="s">
        <v>49</v>
      </c>
      <c r="V142" s="17">
        <v>1</v>
      </c>
    </row>
    <row r="143" spans="1:22">
      <c r="A143" s="2" t="s">
        <v>138</v>
      </c>
      <c r="B143" s="2" t="s">
        <v>139</v>
      </c>
      <c r="C143" s="30" t="s">
        <v>50</v>
      </c>
      <c r="D143" s="35" t="s">
        <v>42</v>
      </c>
      <c r="E143" s="21">
        <v>90.7</v>
      </c>
      <c r="F143" s="21">
        <v>80</v>
      </c>
      <c r="G143" s="21">
        <v>80.150000000000006</v>
      </c>
      <c r="H143" s="21">
        <v>89.4</v>
      </c>
      <c r="I143" s="7">
        <v>84.2</v>
      </c>
      <c r="J143" s="14">
        <f t="shared" si="2"/>
        <v>84.89</v>
      </c>
      <c r="K143" s="8">
        <v>160</v>
      </c>
      <c r="L143" s="8">
        <v>40</v>
      </c>
      <c r="M143" s="8">
        <v>55</v>
      </c>
      <c r="N143" s="14">
        <f>IF(ROUNDUP(IF(K143 &gt; 132, K143 / 40, K143 / 36), 0) &gt;= 7, 6, ROUNDUP(IF(K143 &gt; 132, K143 / 40, K143 / 36), 0))</f>
        <v>4</v>
      </c>
      <c r="O143" s="28">
        <f>L143*K143</f>
        <v>6400</v>
      </c>
      <c r="P143" s="28">
        <f>K143*M143</f>
        <v>8800</v>
      </c>
      <c r="Q143" s="7">
        <v>1</v>
      </c>
      <c r="R143" s="7">
        <v>2</v>
      </c>
      <c r="S143" s="7">
        <v>4</v>
      </c>
      <c r="T143" s="7">
        <v>1</v>
      </c>
      <c r="U143" s="30" t="s">
        <v>51</v>
      </c>
      <c r="V143" s="17">
        <v>1</v>
      </c>
    </row>
    <row r="144" spans="1:22">
      <c r="A144" s="2" t="s">
        <v>138</v>
      </c>
      <c r="B144" s="2" t="s">
        <v>139</v>
      </c>
      <c r="C144" s="30" t="s">
        <v>52</v>
      </c>
      <c r="D144" s="35" t="s">
        <v>42</v>
      </c>
      <c r="E144" s="21">
        <v>87</v>
      </c>
      <c r="F144" s="21">
        <v>80.25</v>
      </c>
      <c r="G144" s="21">
        <v>80.2</v>
      </c>
      <c r="H144" s="21">
        <v>89.9</v>
      </c>
      <c r="I144" s="7">
        <v>86.6</v>
      </c>
      <c r="J144" s="14">
        <f t="shared" si="2"/>
        <v>84.79</v>
      </c>
      <c r="K144" s="8">
        <v>132</v>
      </c>
      <c r="L144" s="8">
        <v>40</v>
      </c>
      <c r="M144" s="8">
        <v>55</v>
      </c>
      <c r="N144" s="14">
        <f>IF(ROUNDUP(IF(K144 &gt; 132, K144 / 40, K144 / 36), 0) &gt;= 7, 6, ROUNDUP(IF(K144 &gt; 132, K144 / 40, K144 / 36), 0))</f>
        <v>4</v>
      </c>
      <c r="O144" s="28">
        <f>L144*K144</f>
        <v>5280</v>
      </c>
      <c r="P144" s="28">
        <f>K144*M144</f>
        <v>7260</v>
      </c>
      <c r="Q144" s="7">
        <v>1</v>
      </c>
      <c r="R144" s="7">
        <v>2</v>
      </c>
      <c r="S144" s="7">
        <v>3</v>
      </c>
      <c r="T144" s="7">
        <v>1</v>
      </c>
      <c r="U144" s="30" t="s">
        <v>53</v>
      </c>
      <c r="V144" s="15">
        <v>1</v>
      </c>
    </row>
    <row r="145" spans="1:22">
      <c r="A145" s="2" t="s">
        <v>138</v>
      </c>
      <c r="B145" s="2" t="s">
        <v>139</v>
      </c>
      <c r="C145" s="30" t="s">
        <v>54</v>
      </c>
      <c r="D145" s="35" t="s">
        <v>42</v>
      </c>
      <c r="E145" s="19">
        <v>77.8</v>
      </c>
      <c r="F145" s="19">
        <v>75</v>
      </c>
      <c r="G145" s="19">
        <v>70.900000000000006</v>
      </c>
      <c r="H145" s="19">
        <v>86.05</v>
      </c>
      <c r="I145" s="7">
        <v>83.7</v>
      </c>
      <c r="J145" s="14">
        <f t="shared" si="2"/>
        <v>78.69</v>
      </c>
      <c r="K145" s="8">
        <v>132</v>
      </c>
      <c r="L145" s="8">
        <v>40</v>
      </c>
      <c r="M145" s="8">
        <v>70</v>
      </c>
      <c r="N145" s="14">
        <f>IF(ROUNDUP(IF(K145 &gt; 132, K145 / 40, K145 / 36), 0) &gt;= 7, 6, ROUNDUP(IF(K145 &gt; 132, K145 / 40, K145 / 36), 0))</f>
        <v>4</v>
      </c>
      <c r="O145" s="28">
        <f>L145*K145</f>
        <v>5280</v>
      </c>
      <c r="P145" s="28">
        <f>K145*M145</f>
        <v>9240</v>
      </c>
      <c r="Q145" s="7">
        <v>1</v>
      </c>
      <c r="R145" s="7">
        <v>3</v>
      </c>
      <c r="S145" s="7">
        <v>3</v>
      </c>
      <c r="T145" s="7">
        <v>2</v>
      </c>
      <c r="U145" s="30" t="s">
        <v>55</v>
      </c>
      <c r="V145" s="17">
        <v>1</v>
      </c>
    </row>
    <row r="146" spans="1:22">
      <c r="A146" s="2" t="s">
        <v>138</v>
      </c>
      <c r="B146" s="2" t="s">
        <v>139</v>
      </c>
      <c r="C146" s="30" t="s">
        <v>56</v>
      </c>
      <c r="D146" s="35" t="s">
        <v>42</v>
      </c>
      <c r="E146" s="19">
        <v>80.150000000000006</v>
      </c>
      <c r="F146" s="19">
        <v>80.150000000000006</v>
      </c>
      <c r="G146" s="21">
        <v>80.150000000000006</v>
      </c>
      <c r="H146" s="21">
        <v>82.75</v>
      </c>
      <c r="I146" s="7">
        <v>80.05</v>
      </c>
      <c r="J146" s="14">
        <f t="shared" si="2"/>
        <v>80.650000000000006</v>
      </c>
      <c r="K146" s="8">
        <v>132</v>
      </c>
      <c r="L146" s="8">
        <v>40</v>
      </c>
      <c r="M146" s="8">
        <v>55</v>
      </c>
      <c r="N146" s="14">
        <f>IF(ROUNDUP(IF(K146 &gt; 132, K146 / 40, K146 / 36), 0) &gt;= 7, 6, ROUNDUP(IF(K146 &gt; 132, K146 / 40, K146 / 36), 0))</f>
        <v>4</v>
      </c>
      <c r="O146" s="28">
        <f>L146*K146</f>
        <v>5280</v>
      </c>
      <c r="P146" s="28">
        <f>K146*M146</f>
        <v>7260</v>
      </c>
      <c r="Q146" s="7">
        <v>1</v>
      </c>
      <c r="R146" s="7">
        <v>2</v>
      </c>
      <c r="S146" s="7">
        <v>3</v>
      </c>
      <c r="T146" s="7">
        <v>2</v>
      </c>
      <c r="U146" s="30" t="s">
        <v>57</v>
      </c>
      <c r="V146" s="17">
        <v>1</v>
      </c>
    </row>
    <row r="147" spans="1:22">
      <c r="A147" s="2" t="s">
        <v>138</v>
      </c>
      <c r="B147" s="2" t="s">
        <v>139</v>
      </c>
      <c r="C147" s="30" t="s">
        <v>61</v>
      </c>
      <c r="D147" s="41" t="s">
        <v>59</v>
      </c>
      <c r="E147" s="21">
        <v>84.6</v>
      </c>
      <c r="F147" s="21">
        <v>74.150000000000006</v>
      </c>
      <c r="G147" s="21">
        <v>72.900000000000006</v>
      </c>
      <c r="H147" s="21">
        <v>81.55</v>
      </c>
      <c r="I147" s="7">
        <v>77.3</v>
      </c>
      <c r="J147" s="14">
        <f t="shared" si="2"/>
        <v>78.099999999999994</v>
      </c>
      <c r="K147" s="8">
        <v>132</v>
      </c>
      <c r="L147" s="8">
        <v>30</v>
      </c>
      <c r="M147" s="8">
        <v>50</v>
      </c>
      <c r="N147" s="14">
        <f>IF(ROUNDUP(IF(K147 &gt; 132, K147 / 40, K147 / 36), 0) &gt;= 7, 6, ROUNDUP(IF(K147 &gt; 132, K147 / 40, K147 / 36), 0))</f>
        <v>4</v>
      </c>
      <c r="O147" s="28">
        <f>L147*K147</f>
        <v>3960</v>
      </c>
      <c r="P147" s="28">
        <f>K147*M147</f>
        <v>6600</v>
      </c>
      <c r="Q147" s="7">
        <v>0</v>
      </c>
      <c r="R147" s="7">
        <v>1</v>
      </c>
      <c r="S147" s="7">
        <v>3</v>
      </c>
      <c r="T147" s="7">
        <v>1</v>
      </c>
      <c r="U147" s="30" t="s">
        <v>62</v>
      </c>
      <c r="V147" s="17">
        <v>1</v>
      </c>
    </row>
    <row r="148" spans="1:22">
      <c r="A148" s="30" t="s">
        <v>138</v>
      </c>
      <c r="B148" s="2" t="s">
        <v>139</v>
      </c>
      <c r="C148" s="30" t="s">
        <v>63</v>
      </c>
      <c r="D148" s="41" t="s">
        <v>59</v>
      </c>
      <c r="E148" s="21">
        <v>84.1</v>
      </c>
      <c r="F148" s="21">
        <v>71.900000000000006</v>
      </c>
      <c r="G148" s="21">
        <v>68.25</v>
      </c>
      <c r="H148" s="21">
        <v>79.400000000000006</v>
      </c>
      <c r="I148" s="7">
        <v>74.900000000000006</v>
      </c>
      <c r="J148" s="14">
        <f t="shared" si="2"/>
        <v>75.709999999999994</v>
      </c>
      <c r="K148" s="8">
        <v>132</v>
      </c>
      <c r="L148" s="8">
        <v>30</v>
      </c>
      <c r="M148" s="8">
        <v>50</v>
      </c>
      <c r="N148" s="14">
        <f>IF(ROUNDUP(IF(K148 &gt; 132, K148 / 40, K148 / 36), 0) &gt;= 7, 6, ROUNDUP(IF(K148 &gt; 132, K148 / 40, K148 / 36), 0))</f>
        <v>4</v>
      </c>
      <c r="O148" s="28">
        <f>L148*K148</f>
        <v>3960</v>
      </c>
      <c r="P148" s="28">
        <f>K148*M148</f>
        <v>6600</v>
      </c>
      <c r="Q148" s="7">
        <v>0</v>
      </c>
      <c r="R148" s="7">
        <v>1</v>
      </c>
      <c r="S148" s="7">
        <v>4</v>
      </c>
      <c r="T148" s="7">
        <v>1</v>
      </c>
      <c r="U148" s="30" t="s">
        <v>64</v>
      </c>
      <c r="V148" s="17">
        <v>1</v>
      </c>
    </row>
    <row r="149" spans="1:22">
      <c r="A149" s="2" t="s">
        <v>138</v>
      </c>
      <c r="B149" s="2" t="s">
        <v>139</v>
      </c>
      <c r="C149" s="30" t="s">
        <v>65</v>
      </c>
      <c r="D149" s="41" t="s">
        <v>59</v>
      </c>
      <c r="E149" s="20">
        <v>77.8</v>
      </c>
      <c r="F149" s="20">
        <v>75</v>
      </c>
      <c r="G149" s="20">
        <v>70.900000000000006</v>
      </c>
      <c r="H149" s="20">
        <v>86.05</v>
      </c>
      <c r="I149" s="7">
        <v>77.75</v>
      </c>
      <c r="J149" s="14">
        <f t="shared" si="2"/>
        <v>77.5</v>
      </c>
      <c r="K149" s="8">
        <v>132</v>
      </c>
      <c r="L149" s="8">
        <v>20</v>
      </c>
      <c r="M149" s="8">
        <v>45</v>
      </c>
      <c r="N149" s="14">
        <f>IF(ROUNDUP(IF(K149 &gt; 132, K149 / 40, K149 / 36), 0) &gt;= 7, 6, ROUNDUP(IF(K149 &gt; 132, K149 / 40, K149 / 36), 0))</f>
        <v>4</v>
      </c>
      <c r="O149" s="28">
        <f>L149*K149</f>
        <v>2640</v>
      </c>
      <c r="P149" s="28">
        <f>K149*M149</f>
        <v>5940</v>
      </c>
      <c r="Q149" s="7">
        <v>0</v>
      </c>
      <c r="R149" s="7">
        <v>2</v>
      </c>
      <c r="S149" s="7">
        <v>3</v>
      </c>
      <c r="T149" s="7">
        <v>0</v>
      </c>
      <c r="U149" s="30" t="s">
        <v>66</v>
      </c>
      <c r="V149" s="17">
        <v>1</v>
      </c>
    </row>
    <row r="150" spans="1:22">
      <c r="A150" s="2" t="s">
        <v>138</v>
      </c>
      <c r="B150" s="2" t="s">
        <v>139</v>
      </c>
      <c r="C150" s="30" t="s">
        <v>67</v>
      </c>
      <c r="D150" s="30" t="s">
        <v>59</v>
      </c>
      <c r="E150" s="21">
        <v>87.8</v>
      </c>
      <c r="F150" s="21">
        <v>74.400000000000006</v>
      </c>
      <c r="G150" s="21">
        <v>73.849999999999994</v>
      </c>
      <c r="H150" s="21">
        <v>82.15</v>
      </c>
      <c r="I150" s="7">
        <v>84.8</v>
      </c>
      <c r="J150" s="14">
        <f t="shared" si="2"/>
        <v>80.599999999999994</v>
      </c>
      <c r="K150" s="8">
        <v>132</v>
      </c>
      <c r="L150" s="8">
        <v>30</v>
      </c>
      <c r="M150" s="8">
        <v>50</v>
      </c>
      <c r="N150" s="14">
        <f>IF(ROUNDUP(IF(K150 &gt; 132, K150 / 40, K150 / 36), 0) &gt;= 7, 6, ROUNDUP(IF(K150 &gt; 132, K150 / 40, K150 / 36), 0))</f>
        <v>4</v>
      </c>
      <c r="O150" s="28">
        <f>L150*K150</f>
        <v>3960</v>
      </c>
      <c r="P150" s="28">
        <f>K150*M150</f>
        <v>6600</v>
      </c>
      <c r="Q150" s="7">
        <v>0</v>
      </c>
      <c r="R150" s="7">
        <v>0</v>
      </c>
      <c r="S150" s="7">
        <v>4</v>
      </c>
      <c r="T150" s="7">
        <v>1</v>
      </c>
      <c r="U150" s="30" t="s">
        <v>68</v>
      </c>
      <c r="V150" s="17">
        <v>1</v>
      </c>
    </row>
    <row r="151" spans="1:22">
      <c r="A151" s="2" t="s">
        <v>138</v>
      </c>
      <c r="B151" s="2" t="s">
        <v>139</v>
      </c>
      <c r="C151" s="30" t="s">
        <v>69</v>
      </c>
      <c r="D151" s="30" t="s">
        <v>59</v>
      </c>
      <c r="E151" s="21">
        <v>82</v>
      </c>
      <c r="F151" s="21">
        <v>76.55</v>
      </c>
      <c r="G151" s="21">
        <v>76.05</v>
      </c>
      <c r="H151" s="21">
        <v>88.75</v>
      </c>
      <c r="I151" s="7">
        <v>84.8</v>
      </c>
      <c r="J151" s="14">
        <f t="shared" si="2"/>
        <v>81.63000000000001</v>
      </c>
      <c r="K151" s="8">
        <v>132</v>
      </c>
      <c r="L151" s="8">
        <v>50</v>
      </c>
      <c r="M151" s="8">
        <v>60</v>
      </c>
      <c r="N151" s="14">
        <f>IF(ROUNDUP(IF(K151 &gt; 132, K151 / 40, K151 / 36), 0) &gt;= 7, 6, ROUNDUP(IF(K151 &gt; 132, K151 / 40, K151 / 36), 0))</f>
        <v>4</v>
      </c>
      <c r="O151" s="28">
        <f>L151*K151</f>
        <v>6600</v>
      </c>
      <c r="P151" s="28">
        <f>K151*M151</f>
        <v>7920</v>
      </c>
      <c r="Q151" s="7">
        <v>1</v>
      </c>
      <c r="R151" s="7">
        <v>2</v>
      </c>
      <c r="S151" s="7">
        <v>3</v>
      </c>
      <c r="T151" s="7">
        <v>2</v>
      </c>
      <c r="U151" s="30" t="s">
        <v>70</v>
      </c>
      <c r="V151" s="15">
        <v>1</v>
      </c>
    </row>
    <row r="152" spans="1:22">
      <c r="A152" s="2" t="s">
        <v>138</v>
      </c>
      <c r="B152" s="2" t="s">
        <v>139</v>
      </c>
      <c r="C152" s="30" t="s">
        <v>71</v>
      </c>
      <c r="D152" s="30" t="s">
        <v>59</v>
      </c>
      <c r="E152" s="7">
        <v>82</v>
      </c>
      <c r="F152" s="21">
        <v>77.900000000000006</v>
      </c>
      <c r="G152" s="21">
        <v>82.85</v>
      </c>
      <c r="H152" s="21">
        <v>88.3</v>
      </c>
      <c r="I152" s="7">
        <v>84.9</v>
      </c>
      <c r="J152" s="14">
        <f t="shared" si="2"/>
        <v>83.190000000000012</v>
      </c>
      <c r="K152" s="8">
        <v>132</v>
      </c>
      <c r="L152" s="8">
        <v>50</v>
      </c>
      <c r="M152" s="8">
        <v>70</v>
      </c>
      <c r="N152" s="14">
        <f>IF(ROUNDUP(IF(K152 &gt; 132, K152 / 40, K152 / 36), 0) &gt;= 7, 6, ROUNDUP(IF(K152 &gt; 132, K152 / 40, K152 / 36), 0))</f>
        <v>4</v>
      </c>
      <c r="O152" s="28">
        <f>L152*K152</f>
        <v>6600</v>
      </c>
      <c r="P152" s="28">
        <f>K152*M152</f>
        <v>9240</v>
      </c>
      <c r="Q152" s="7">
        <v>1</v>
      </c>
      <c r="R152" s="7">
        <v>3</v>
      </c>
      <c r="S152" s="7">
        <v>3</v>
      </c>
      <c r="T152" s="7">
        <v>2</v>
      </c>
      <c r="U152" s="30" t="s">
        <v>72</v>
      </c>
      <c r="V152" s="17">
        <v>1</v>
      </c>
    </row>
    <row r="153" spans="1:22">
      <c r="A153" s="2" t="s">
        <v>138</v>
      </c>
      <c r="B153" s="2" t="s">
        <v>139</v>
      </c>
      <c r="C153" s="30" t="s">
        <v>73</v>
      </c>
      <c r="D153" s="30" t="s">
        <v>59</v>
      </c>
      <c r="E153" s="7">
        <v>82</v>
      </c>
      <c r="F153" s="21">
        <v>77.900000000000006</v>
      </c>
      <c r="G153" s="21">
        <v>82.85</v>
      </c>
      <c r="H153" s="21">
        <v>88.3</v>
      </c>
      <c r="I153" s="7">
        <v>84.9</v>
      </c>
      <c r="J153" s="14">
        <f t="shared" si="2"/>
        <v>83.190000000000012</v>
      </c>
      <c r="K153" s="8">
        <v>132</v>
      </c>
      <c r="L153" s="8">
        <v>50</v>
      </c>
      <c r="M153" s="8">
        <v>70</v>
      </c>
      <c r="N153" s="14">
        <f>IF(ROUNDUP(IF(K153 &gt; 132, K153 / 40, K153 / 36), 0) &gt;= 7, 6, ROUNDUP(IF(K153 &gt; 132, K153 / 40, K153 / 36), 0))</f>
        <v>4</v>
      </c>
      <c r="O153" s="28">
        <f>L153*K153</f>
        <v>6600</v>
      </c>
      <c r="P153" s="28">
        <f>K153*M153</f>
        <v>9240</v>
      </c>
      <c r="Q153" s="7">
        <v>1</v>
      </c>
      <c r="R153" s="7">
        <v>3</v>
      </c>
      <c r="S153" s="7">
        <v>3</v>
      </c>
      <c r="T153" s="7">
        <v>2</v>
      </c>
      <c r="U153" s="30" t="s">
        <v>74</v>
      </c>
      <c r="V153" s="17">
        <v>1</v>
      </c>
    </row>
    <row r="154" spans="1:22">
      <c r="A154" s="2" t="s">
        <v>138</v>
      </c>
      <c r="B154" s="2" t="s">
        <v>139</v>
      </c>
      <c r="C154" s="30" t="s">
        <v>75</v>
      </c>
      <c r="D154" s="30" t="s">
        <v>59</v>
      </c>
      <c r="E154" s="7">
        <v>82</v>
      </c>
      <c r="F154" s="7" t="s">
        <v>140</v>
      </c>
      <c r="G154" s="7">
        <v>82.8</v>
      </c>
      <c r="H154" s="7">
        <v>84.1</v>
      </c>
      <c r="I154" s="7">
        <v>84.1</v>
      </c>
      <c r="J154" s="14">
        <f t="shared" si="2"/>
        <v>83.25</v>
      </c>
      <c r="K154" s="8">
        <v>132</v>
      </c>
      <c r="L154" s="8">
        <v>50</v>
      </c>
      <c r="M154" s="8">
        <v>65</v>
      </c>
      <c r="N154" s="14">
        <f>IF(ROUNDUP(IF(K154 &gt; 132, K154 / 40, K154 / 36), 0) &gt;= 7, 6, ROUNDUP(IF(K154 &gt; 132, K154 / 40, K154 / 36), 0))</f>
        <v>4</v>
      </c>
      <c r="O154" s="28">
        <f>L154*K154</f>
        <v>6600</v>
      </c>
      <c r="P154" s="28">
        <f>K154*M154</f>
        <v>8580</v>
      </c>
      <c r="Q154" s="7">
        <v>1</v>
      </c>
      <c r="R154" s="7">
        <v>3</v>
      </c>
      <c r="S154" s="7">
        <v>3</v>
      </c>
      <c r="T154" s="7">
        <v>2</v>
      </c>
      <c r="U154" s="30" t="s">
        <v>76</v>
      </c>
      <c r="V154" s="17">
        <v>1</v>
      </c>
    </row>
    <row r="155" spans="1:22">
      <c r="A155" s="2" t="s">
        <v>138</v>
      </c>
      <c r="B155" s="2" t="s">
        <v>139</v>
      </c>
      <c r="C155" s="30" t="s">
        <v>77</v>
      </c>
      <c r="D155" s="30" t="s">
        <v>59</v>
      </c>
      <c r="E155" s="21">
        <v>85.1</v>
      </c>
      <c r="F155" s="21">
        <v>78.400000000000006</v>
      </c>
      <c r="G155" s="21">
        <v>77.8</v>
      </c>
      <c r="H155" s="21">
        <v>88.25</v>
      </c>
      <c r="I155" s="7">
        <v>84.1</v>
      </c>
      <c r="J155" s="14">
        <f t="shared" si="2"/>
        <v>82.72999999999999</v>
      </c>
      <c r="K155" s="8">
        <v>132</v>
      </c>
      <c r="L155" s="8">
        <v>50</v>
      </c>
      <c r="M155" s="8">
        <v>65</v>
      </c>
      <c r="N155" s="14">
        <f>IF(ROUNDUP(IF(K155 &gt; 132, K155 / 40, K155 / 36), 0) &gt;= 7, 6, ROUNDUP(IF(K155 &gt; 132, K155 / 40, K155 / 36), 0))</f>
        <v>4</v>
      </c>
      <c r="O155" s="28">
        <f>L155*K155</f>
        <v>6600</v>
      </c>
      <c r="P155" s="28">
        <f>K155*M155</f>
        <v>8580</v>
      </c>
      <c r="Q155" s="7">
        <v>1</v>
      </c>
      <c r="R155" s="7">
        <v>3</v>
      </c>
      <c r="S155" s="7">
        <v>2</v>
      </c>
      <c r="T155" s="7">
        <v>2</v>
      </c>
      <c r="U155" s="30" t="s">
        <v>78</v>
      </c>
      <c r="V155" s="17">
        <v>1</v>
      </c>
    </row>
    <row r="156" spans="1:22">
      <c r="A156" s="2" t="s">
        <v>138</v>
      </c>
      <c r="B156" s="2" t="s">
        <v>139</v>
      </c>
      <c r="C156" s="30" t="s">
        <v>79</v>
      </c>
      <c r="D156" s="30" t="s">
        <v>59</v>
      </c>
      <c r="E156" s="21">
        <v>75.599999999999994</v>
      </c>
      <c r="F156" s="21">
        <v>74.2</v>
      </c>
      <c r="G156" s="21">
        <v>70.8</v>
      </c>
      <c r="H156" s="21">
        <v>79.7</v>
      </c>
      <c r="I156" s="7">
        <v>78.900000000000006</v>
      </c>
      <c r="J156" s="14">
        <f t="shared" si="2"/>
        <v>75.84</v>
      </c>
      <c r="K156" s="8">
        <v>132</v>
      </c>
      <c r="L156" s="8">
        <v>50</v>
      </c>
      <c r="M156" s="8">
        <v>60</v>
      </c>
      <c r="N156" s="14">
        <f>IF(ROUNDUP(IF(K156 &gt; 132, K156 / 40, K156 / 36), 0) &gt;= 7, 6, ROUNDUP(IF(K156 &gt; 132, K156 / 40, K156 / 36), 0))</f>
        <v>4</v>
      </c>
      <c r="O156" s="28">
        <f>L156*K156</f>
        <v>6600</v>
      </c>
      <c r="P156" s="28">
        <f>K156*M156</f>
        <v>7920</v>
      </c>
      <c r="Q156" s="7">
        <v>1</v>
      </c>
      <c r="R156" s="7">
        <v>2</v>
      </c>
      <c r="S156" s="7">
        <v>2</v>
      </c>
      <c r="T156" s="7">
        <v>1</v>
      </c>
      <c r="U156" s="30" t="s">
        <v>80</v>
      </c>
      <c r="V156" s="17">
        <v>1</v>
      </c>
    </row>
    <row r="157" spans="1:22">
      <c r="A157" s="2" t="s">
        <v>138</v>
      </c>
      <c r="B157" s="2" t="s">
        <v>139</v>
      </c>
      <c r="C157" s="30" t="s">
        <v>141</v>
      </c>
      <c r="D157" s="30" t="s">
        <v>59</v>
      </c>
      <c r="E157" s="7">
        <v>77.8</v>
      </c>
      <c r="F157" s="7">
        <v>75</v>
      </c>
      <c r="G157" s="7">
        <v>70.900000000000006</v>
      </c>
      <c r="H157" s="7">
        <v>86.05</v>
      </c>
      <c r="I157" s="7">
        <v>79</v>
      </c>
      <c r="J157" s="14">
        <f t="shared" si="2"/>
        <v>77.75</v>
      </c>
      <c r="K157" s="8">
        <v>132</v>
      </c>
      <c r="L157" s="8">
        <v>25</v>
      </c>
      <c r="M157" s="8">
        <v>40</v>
      </c>
      <c r="N157" s="14">
        <f>IF(ROUNDUP(IF(K157 &gt; 132, K157 / 40, K157 / 36), 0) &gt;= 7, 6, ROUNDUP(IF(K157 &gt; 132, K157 / 40, K157 / 36), 0))</f>
        <v>4</v>
      </c>
      <c r="O157" s="28">
        <f>L157*K157</f>
        <v>3300</v>
      </c>
      <c r="P157" s="28">
        <f>K157*M157</f>
        <v>5280</v>
      </c>
      <c r="Q157" s="7">
        <v>1</v>
      </c>
      <c r="R157" s="7">
        <v>3</v>
      </c>
      <c r="S157" s="7">
        <v>2</v>
      </c>
      <c r="T157" s="7">
        <v>0</v>
      </c>
      <c r="U157" s="30" t="s">
        <v>142</v>
      </c>
      <c r="V157" s="17">
        <v>1</v>
      </c>
    </row>
    <row r="158" spans="1:22">
      <c r="A158" s="2" t="s">
        <v>138</v>
      </c>
      <c r="B158" s="2" t="s">
        <v>139</v>
      </c>
      <c r="C158" s="30" t="s">
        <v>81</v>
      </c>
      <c r="D158" s="30" t="s">
        <v>59</v>
      </c>
      <c r="E158" s="21">
        <v>78.099999999999994</v>
      </c>
      <c r="F158" s="21">
        <v>65.75</v>
      </c>
      <c r="G158" s="21">
        <v>67.95</v>
      </c>
      <c r="H158" s="21">
        <v>80.2</v>
      </c>
      <c r="I158" s="7">
        <v>74.8</v>
      </c>
      <c r="J158" s="14">
        <f t="shared" si="2"/>
        <v>73.36</v>
      </c>
      <c r="K158" s="8">
        <v>132</v>
      </c>
      <c r="L158" s="8">
        <v>30</v>
      </c>
      <c r="M158" s="8">
        <v>40</v>
      </c>
      <c r="N158" s="14">
        <f>IF(ROUNDUP(IF(K158 &gt; 132, K158 / 40, K158 / 36), 0) &gt;= 7, 6, ROUNDUP(IF(K158 &gt; 132, K158 / 40, K158 / 36), 0))</f>
        <v>4</v>
      </c>
      <c r="O158" s="28">
        <f>L158*K158</f>
        <v>3960</v>
      </c>
      <c r="P158" s="28">
        <f>K158*M158</f>
        <v>5280</v>
      </c>
      <c r="Q158" s="7">
        <v>0</v>
      </c>
      <c r="R158" s="7">
        <v>2</v>
      </c>
      <c r="S158" s="7">
        <v>2</v>
      </c>
      <c r="T158" s="7">
        <v>0</v>
      </c>
      <c r="U158" s="30" t="s">
        <v>82</v>
      </c>
      <c r="V158" s="15">
        <v>1</v>
      </c>
    </row>
    <row r="159" spans="1:22">
      <c r="A159" s="2" t="s">
        <v>138</v>
      </c>
      <c r="B159" s="2" t="s">
        <v>139</v>
      </c>
      <c r="C159" s="30" t="s">
        <v>83</v>
      </c>
      <c r="D159" s="30" t="s">
        <v>59</v>
      </c>
      <c r="E159" s="21">
        <v>88.3</v>
      </c>
      <c r="F159" s="21">
        <v>81.05</v>
      </c>
      <c r="G159" s="21">
        <v>79.8</v>
      </c>
      <c r="H159" s="21">
        <v>88.45</v>
      </c>
      <c r="I159" s="7">
        <v>87.35</v>
      </c>
      <c r="J159" s="14">
        <f t="shared" si="2"/>
        <v>84.989999999999981</v>
      </c>
      <c r="K159" s="8">
        <v>132</v>
      </c>
      <c r="L159" s="8">
        <v>40</v>
      </c>
      <c r="M159" s="8">
        <v>50</v>
      </c>
      <c r="N159" s="14">
        <f>IF(ROUNDUP(IF(K159 &gt; 132, K159 / 40, K159 / 36), 0) &gt;= 7, 6, ROUNDUP(IF(K159 &gt; 132, K159 / 40, K159 / 36), 0))</f>
        <v>4</v>
      </c>
      <c r="O159" s="28">
        <f>L159*K159</f>
        <v>5280</v>
      </c>
      <c r="P159" s="28">
        <f>K159*M159</f>
        <v>6600</v>
      </c>
      <c r="Q159" s="7">
        <v>1</v>
      </c>
      <c r="R159" s="7">
        <v>3</v>
      </c>
      <c r="S159" s="7">
        <v>2</v>
      </c>
      <c r="T159" s="7">
        <v>1</v>
      </c>
      <c r="U159" s="30" t="s">
        <v>84</v>
      </c>
      <c r="V159" s="17">
        <v>1</v>
      </c>
    </row>
    <row r="160" spans="1:22">
      <c r="A160" s="2" t="s">
        <v>138</v>
      </c>
      <c r="B160" s="2" t="s">
        <v>139</v>
      </c>
      <c r="C160" s="30" t="s">
        <v>87</v>
      </c>
      <c r="D160" s="1" t="s">
        <v>88</v>
      </c>
      <c r="E160" s="21">
        <v>87.5</v>
      </c>
      <c r="F160" s="21">
        <v>78.400000000000006</v>
      </c>
      <c r="G160" s="21">
        <v>81.25</v>
      </c>
      <c r="H160" s="21">
        <v>84.4</v>
      </c>
      <c r="I160" s="7">
        <v>82.9</v>
      </c>
      <c r="J160" s="14">
        <f t="shared" si="2"/>
        <v>82.890000000000015</v>
      </c>
      <c r="K160" s="8">
        <v>132</v>
      </c>
      <c r="L160" s="8">
        <v>30</v>
      </c>
      <c r="M160" s="8">
        <v>40</v>
      </c>
      <c r="N160" s="14">
        <f>IF(ROUNDUP(IF(K160 &gt; 132, K160 / 40, K160 / 36), 0) &gt;= 7, 6, ROUNDUP(IF(K160 &gt; 132, K160 / 40, K160 / 36), 0))</f>
        <v>4</v>
      </c>
      <c r="O160" s="28">
        <f>L160*K160</f>
        <v>3960</v>
      </c>
      <c r="P160" s="28">
        <f>K160*M160</f>
        <v>5280</v>
      </c>
      <c r="Q160" s="7">
        <v>0</v>
      </c>
      <c r="R160" s="7">
        <v>0</v>
      </c>
      <c r="S160" s="7">
        <v>2</v>
      </c>
      <c r="T160" s="7">
        <v>0</v>
      </c>
      <c r="U160" s="30" t="s">
        <v>89</v>
      </c>
      <c r="V160" s="17">
        <v>1</v>
      </c>
    </row>
    <row r="161" spans="1:22">
      <c r="A161" s="2" t="s">
        <v>138</v>
      </c>
      <c r="B161" s="2" t="s">
        <v>139</v>
      </c>
      <c r="C161" s="30" t="s">
        <v>90</v>
      </c>
      <c r="D161" s="2" t="s">
        <v>88</v>
      </c>
      <c r="E161" s="21">
        <v>93</v>
      </c>
      <c r="F161" s="21">
        <v>81.900000000000006</v>
      </c>
      <c r="G161" s="21">
        <v>83.35</v>
      </c>
      <c r="H161" s="21">
        <v>92.9</v>
      </c>
      <c r="I161" s="7">
        <v>85.4</v>
      </c>
      <c r="J161" s="14">
        <f t="shared" si="2"/>
        <v>87.309999999999988</v>
      </c>
      <c r="K161" s="8">
        <v>132</v>
      </c>
      <c r="L161" s="8">
        <v>30</v>
      </c>
      <c r="M161" s="8">
        <v>40</v>
      </c>
      <c r="N161" s="14">
        <f>IF(ROUNDUP(IF(K161 &gt; 132, K161 / 40, K161 / 36), 0) &gt;= 7, 6, ROUNDUP(IF(K161 &gt; 132, K161 / 40, K161 / 36), 0))</f>
        <v>4</v>
      </c>
      <c r="O161" s="28">
        <f>L161*K161</f>
        <v>3960</v>
      </c>
      <c r="P161" s="28">
        <f>K161*M161</f>
        <v>5280</v>
      </c>
      <c r="Q161" s="7">
        <v>0</v>
      </c>
      <c r="R161" s="7">
        <v>0</v>
      </c>
      <c r="S161" s="7">
        <v>2</v>
      </c>
      <c r="T161" s="7">
        <v>1</v>
      </c>
      <c r="U161" s="30" t="s">
        <v>91</v>
      </c>
      <c r="V161" s="17">
        <v>1</v>
      </c>
    </row>
    <row r="162" spans="1:22">
      <c r="A162" s="2" t="s">
        <v>138</v>
      </c>
      <c r="B162" s="2" t="s">
        <v>139</v>
      </c>
      <c r="C162" s="30" t="s">
        <v>94</v>
      </c>
      <c r="D162" s="2" t="s">
        <v>88</v>
      </c>
      <c r="E162" s="20">
        <v>85.45</v>
      </c>
      <c r="F162" s="20">
        <v>77.900000000000006</v>
      </c>
      <c r="G162" s="21">
        <v>77.900000000000006</v>
      </c>
      <c r="H162" s="21">
        <v>85.95</v>
      </c>
      <c r="I162" s="7">
        <v>85</v>
      </c>
      <c r="J162" s="14">
        <f t="shared" si="2"/>
        <v>82.440000000000012</v>
      </c>
      <c r="K162" s="8">
        <v>132</v>
      </c>
      <c r="L162" s="8">
        <v>50</v>
      </c>
      <c r="M162" s="8">
        <v>60</v>
      </c>
      <c r="N162" s="14">
        <f>IF(ROUNDUP(IF(K162 &gt; 132, K162 / 40, K162 / 36), 0) &gt;= 7, 6, ROUNDUP(IF(K162 &gt; 132, K162 / 40, K162 / 36), 0))</f>
        <v>4</v>
      </c>
      <c r="O162" s="28">
        <f>L162*K162</f>
        <v>6600</v>
      </c>
      <c r="P162" s="28">
        <f>K162*M162</f>
        <v>7920</v>
      </c>
      <c r="Q162" s="7">
        <v>0</v>
      </c>
      <c r="R162" s="7">
        <v>2</v>
      </c>
      <c r="S162" s="7">
        <v>2</v>
      </c>
      <c r="T162" s="7">
        <v>0</v>
      </c>
      <c r="U162" s="30" t="s">
        <v>95</v>
      </c>
      <c r="V162" s="17">
        <v>1</v>
      </c>
    </row>
    <row r="163" spans="1:22">
      <c r="A163" s="2" t="s">
        <v>138</v>
      </c>
      <c r="B163" s="2" t="s">
        <v>139</v>
      </c>
      <c r="C163" s="1" t="s">
        <v>96</v>
      </c>
      <c r="D163" s="2" t="s">
        <v>88</v>
      </c>
      <c r="E163" s="21">
        <v>85.8</v>
      </c>
      <c r="F163" s="21">
        <v>79.45</v>
      </c>
      <c r="G163" s="21">
        <v>73.55</v>
      </c>
      <c r="H163" s="21">
        <v>88</v>
      </c>
      <c r="I163" s="7">
        <v>80.56</v>
      </c>
      <c r="J163" s="14">
        <f t="shared" si="2"/>
        <v>81.472000000000008</v>
      </c>
      <c r="K163" s="8">
        <v>132</v>
      </c>
      <c r="L163" s="8">
        <v>30</v>
      </c>
      <c r="M163" s="8">
        <v>40</v>
      </c>
      <c r="N163" s="14">
        <f>IF(ROUNDUP(IF(K163 &gt; 132, K163 / 40, K163 / 36), 0) &gt;= 7, 6, ROUNDUP(IF(K163 &gt; 132, K163 / 40, K163 / 36), 0))</f>
        <v>4</v>
      </c>
      <c r="O163" s="28">
        <f>L163*K163</f>
        <v>3960</v>
      </c>
      <c r="P163" s="28">
        <f>K163*M163</f>
        <v>5280</v>
      </c>
      <c r="Q163" s="7">
        <v>1</v>
      </c>
      <c r="R163" s="7">
        <v>1</v>
      </c>
      <c r="S163" s="7">
        <v>3</v>
      </c>
      <c r="T163" s="7">
        <v>2</v>
      </c>
      <c r="U163" s="30" t="s">
        <v>97</v>
      </c>
      <c r="V163" s="15">
        <v>1</v>
      </c>
    </row>
    <row r="164" spans="1:22">
      <c r="A164" s="30" t="s">
        <v>138</v>
      </c>
      <c r="B164" s="2" t="s">
        <v>139</v>
      </c>
      <c r="C164" s="1" t="s">
        <v>98</v>
      </c>
      <c r="D164" s="2" t="s">
        <v>88</v>
      </c>
      <c r="E164" s="21">
        <v>74.2</v>
      </c>
      <c r="F164" s="21">
        <v>72</v>
      </c>
      <c r="G164" s="21">
        <v>67.75</v>
      </c>
      <c r="H164" s="21">
        <v>78.900000000000006</v>
      </c>
      <c r="I164" s="7">
        <v>74.7</v>
      </c>
      <c r="J164" s="14">
        <f t="shared" si="2"/>
        <v>73.510000000000005</v>
      </c>
      <c r="K164" s="8">
        <v>132</v>
      </c>
      <c r="L164" s="8">
        <v>30</v>
      </c>
      <c r="M164" s="8">
        <v>40</v>
      </c>
      <c r="N164" s="14">
        <f>IF(ROUNDUP(IF(K164 &gt; 132, K164 / 40, K164 / 36), 0) &gt;= 7, 6, ROUNDUP(IF(K164 &gt; 132, K164 / 40, K164 / 36), 0))</f>
        <v>4</v>
      </c>
      <c r="O164" s="28">
        <f>L164*K164</f>
        <v>3960</v>
      </c>
      <c r="P164" s="28">
        <f>K164*M164</f>
        <v>5280</v>
      </c>
      <c r="Q164" s="7">
        <v>1</v>
      </c>
      <c r="R164" s="7">
        <v>1</v>
      </c>
      <c r="S164" s="7">
        <v>2</v>
      </c>
      <c r="T164" s="7">
        <v>1</v>
      </c>
      <c r="U164" s="30" t="s">
        <v>99</v>
      </c>
      <c r="V164" s="17">
        <v>1</v>
      </c>
    </row>
    <row r="165" spans="1:22">
      <c r="A165" s="2" t="s">
        <v>138</v>
      </c>
      <c r="B165" s="2" t="s">
        <v>139</v>
      </c>
      <c r="C165" s="1" t="s">
        <v>100</v>
      </c>
      <c r="D165" s="2" t="s">
        <v>88</v>
      </c>
      <c r="E165" s="21">
        <v>74.7</v>
      </c>
      <c r="F165" s="21">
        <v>79.5</v>
      </c>
      <c r="G165" s="21">
        <v>79.5</v>
      </c>
      <c r="H165" s="21">
        <v>79.5</v>
      </c>
      <c r="I165" s="7">
        <v>74.7</v>
      </c>
      <c r="J165" s="14">
        <f t="shared" si="2"/>
        <v>77.58</v>
      </c>
      <c r="K165" s="8">
        <v>132</v>
      </c>
      <c r="L165" s="8">
        <v>30</v>
      </c>
      <c r="M165" s="8">
        <v>40</v>
      </c>
      <c r="N165" s="14">
        <f>IF(ROUNDUP(IF(K165 &gt; 132, K165 / 40, K165 / 36), 0) &gt;= 7, 6, ROUNDUP(IF(K165 &gt; 132, K165 / 40, K165 / 36), 0))</f>
        <v>4</v>
      </c>
      <c r="O165" s="28">
        <f>L165*K165</f>
        <v>3960</v>
      </c>
      <c r="P165" s="28">
        <f>K165*M165</f>
        <v>5280</v>
      </c>
      <c r="Q165" s="7">
        <v>1</v>
      </c>
      <c r="R165" s="7">
        <v>2</v>
      </c>
      <c r="S165" s="7">
        <v>3</v>
      </c>
      <c r="T165" s="7">
        <v>0</v>
      </c>
      <c r="U165" s="30" t="s">
        <v>101</v>
      </c>
      <c r="V165" s="17">
        <v>1</v>
      </c>
    </row>
    <row r="166" spans="1:22">
      <c r="A166" s="2" t="s">
        <v>138</v>
      </c>
      <c r="B166" s="2" t="s">
        <v>139</v>
      </c>
      <c r="C166" s="1" t="s">
        <v>102</v>
      </c>
      <c r="D166" s="2" t="s">
        <v>88</v>
      </c>
      <c r="E166" s="21">
        <v>77.400000000000006</v>
      </c>
      <c r="F166" s="21">
        <v>74.8</v>
      </c>
      <c r="G166" s="21">
        <v>71.75</v>
      </c>
      <c r="H166" s="21">
        <v>81.55</v>
      </c>
      <c r="I166" s="7">
        <v>80</v>
      </c>
      <c r="J166" s="14">
        <f t="shared" si="2"/>
        <v>77.099999999999994</v>
      </c>
      <c r="K166" s="8">
        <v>132</v>
      </c>
      <c r="L166" s="8">
        <v>30</v>
      </c>
      <c r="M166" s="8">
        <v>40</v>
      </c>
      <c r="N166" s="14">
        <f>IF(ROUNDUP(IF(K166 &gt; 132, K166 / 40, K166 / 36), 0) &gt;= 7, 6, ROUNDUP(IF(K166 &gt; 132, K166 / 40, K166 / 36), 0))</f>
        <v>4</v>
      </c>
      <c r="O166" s="28">
        <f>L166*K166</f>
        <v>3960</v>
      </c>
      <c r="P166" s="28">
        <f>K166*M166</f>
        <v>5280</v>
      </c>
      <c r="Q166" s="7">
        <v>1</v>
      </c>
      <c r="R166" s="7">
        <v>3</v>
      </c>
      <c r="S166" s="7">
        <v>2</v>
      </c>
      <c r="T166" s="7">
        <v>2</v>
      </c>
      <c r="U166" s="30" t="s">
        <v>103</v>
      </c>
      <c r="V166" s="17">
        <v>1</v>
      </c>
    </row>
    <row r="167" spans="1:22">
      <c r="A167" s="2" t="s">
        <v>138</v>
      </c>
      <c r="B167" s="2" t="s">
        <v>139</v>
      </c>
      <c r="C167" s="1" t="s">
        <v>104</v>
      </c>
      <c r="D167" s="2" t="s">
        <v>88</v>
      </c>
      <c r="E167" s="21">
        <v>76.900000000000006</v>
      </c>
      <c r="F167" s="21">
        <v>74.5</v>
      </c>
      <c r="G167" s="21">
        <v>71.2</v>
      </c>
      <c r="H167" s="21">
        <v>83.95</v>
      </c>
      <c r="I167" s="7">
        <v>78.2</v>
      </c>
      <c r="J167" s="14">
        <f t="shared" si="2"/>
        <v>76.95</v>
      </c>
      <c r="K167" s="8">
        <v>132</v>
      </c>
      <c r="L167" s="8">
        <v>30</v>
      </c>
      <c r="M167" s="8">
        <v>40</v>
      </c>
      <c r="N167" s="14">
        <f>IF(ROUNDUP(IF(K167 &gt; 132, K167 / 40, K167 / 36), 0) &gt;= 7, 6, ROUNDUP(IF(K167 &gt; 132, K167 / 40, K167 / 36), 0))</f>
        <v>4</v>
      </c>
      <c r="O167" s="28">
        <f>L167*K167</f>
        <v>3960</v>
      </c>
      <c r="P167" s="28">
        <f>K167*M167</f>
        <v>5280</v>
      </c>
      <c r="Q167" s="7">
        <v>1</v>
      </c>
      <c r="R167" s="7">
        <v>2</v>
      </c>
      <c r="S167" s="7">
        <v>3</v>
      </c>
      <c r="T167" s="7">
        <v>2</v>
      </c>
      <c r="U167" s="30" t="s">
        <v>105</v>
      </c>
      <c r="V167" s="17">
        <v>1</v>
      </c>
    </row>
    <row r="168" spans="1:22">
      <c r="A168" s="2" t="s">
        <v>138</v>
      </c>
      <c r="B168" s="2" t="s">
        <v>139</v>
      </c>
      <c r="C168" s="1" t="s">
        <v>108</v>
      </c>
      <c r="D168" s="2" t="s">
        <v>88</v>
      </c>
      <c r="E168" s="21">
        <v>72.599999999999994</v>
      </c>
      <c r="F168" s="21">
        <v>72.05</v>
      </c>
      <c r="G168" s="21">
        <v>67.150000000000006</v>
      </c>
      <c r="H168" s="21">
        <v>78.95</v>
      </c>
      <c r="I168" s="7">
        <v>74.55</v>
      </c>
      <c r="J168" s="14">
        <f t="shared" si="2"/>
        <v>73.06</v>
      </c>
      <c r="K168" s="8">
        <v>132</v>
      </c>
      <c r="L168" s="8">
        <v>30</v>
      </c>
      <c r="M168" s="37">
        <v>40</v>
      </c>
      <c r="N168" s="14">
        <f>IF(ROUNDUP(IF(K168 &gt; 132, K168 / 40, K168 / 36), 0) &gt;= 7, 6, ROUNDUP(IF(K168 &gt; 132, K168 / 40, K168 / 36), 0))</f>
        <v>4</v>
      </c>
      <c r="O168" s="28">
        <f>L168*K168</f>
        <v>3960</v>
      </c>
      <c r="P168" s="28">
        <f>K168*M168</f>
        <v>5280</v>
      </c>
      <c r="Q168" s="7">
        <v>0</v>
      </c>
      <c r="R168" s="7">
        <v>2</v>
      </c>
      <c r="S168" s="7">
        <v>2</v>
      </c>
      <c r="T168" s="7">
        <v>0</v>
      </c>
      <c r="U168" s="30" t="s">
        <v>109</v>
      </c>
      <c r="V168" s="17">
        <v>1</v>
      </c>
    </row>
    <row r="169" spans="1:22">
      <c r="A169" s="2" t="s">
        <v>138</v>
      </c>
      <c r="B169" s="2" t="s">
        <v>139</v>
      </c>
      <c r="C169" s="1" t="s">
        <v>110</v>
      </c>
      <c r="D169" s="2" t="s">
        <v>88</v>
      </c>
      <c r="E169" s="21">
        <v>72.599999999999994</v>
      </c>
      <c r="F169" s="21">
        <v>72.05</v>
      </c>
      <c r="G169" s="21">
        <v>67.150000000000006</v>
      </c>
      <c r="H169" s="21">
        <v>78.95</v>
      </c>
      <c r="I169" s="7">
        <v>74.55</v>
      </c>
      <c r="J169" s="14">
        <f t="shared" si="2"/>
        <v>73.06</v>
      </c>
      <c r="K169" s="8">
        <v>132</v>
      </c>
      <c r="L169" s="8">
        <v>30</v>
      </c>
      <c r="M169" s="8">
        <v>40</v>
      </c>
      <c r="N169" s="14">
        <f>IF(ROUNDUP(IF(K169 &gt; 132, K169 / 40, K169 / 36), 0) &gt;= 7, 6, ROUNDUP(IF(K169 &gt; 132, K169 / 40, K169 / 36), 0))</f>
        <v>4</v>
      </c>
      <c r="O169" s="28">
        <f>L169*K169</f>
        <v>3960</v>
      </c>
      <c r="P169" s="28">
        <f>K169*M169</f>
        <v>5280</v>
      </c>
      <c r="Q169" s="7">
        <v>1</v>
      </c>
      <c r="R169" s="7">
        <v>2</v>
      </c>
      <c r="S169" s="7">
        <v>2</v>
      </c>
      <c r="T169" s="7">
        <v>1</v>
      </c>
      <c r="U169" s="30" t="s">
        <v>111</v>
      </c>
      <c r="V169" s="15">
        <v>1</v>
      </c>
    </row>
    <row r="170" spans="1:22">
      <c r="A170" s="2" t="s">
        <v>138</v>
      </c>
      <c r="B170" s="2" t="s">
        <v>139</v>
      </c>
      <c r="C170" s="1" t="s">
        <v>112</v>
      </c>
      <c r="D170" s="30" t="s">
        <v>113</v>
      </c>
      <c r="E170" s="7">
        <v>87.1</v>
      </c>
      <c r="F170" s="7">
        <v>76.900000000000006</v>
      </c>
      <c r="G170" s="7">
        <v>72.25</v>
      </c>
      <c r="H170" s="7">
        <v>85.15</v>
      </c>
      <c r="I170" s="7">
        <v>80.75</v>
      </c>
      <c r="J170" s="14">
        <f t="shared" si="2"/>
        <v>80.429999999999993</v>
      </c>
      <c r="K170" s="8">
        <v>132</v>
      </c>
      <c r="L170" s="37">
        <v>30</v>
      </c>
      <c r="M170" s="8">
        <v>50</v>
      </c>
      <c r="N170" s="14">
        <f>IF(ROUNDUP(IF(K170 &gt; 132, K170 / 40, K170 / 36), 0) &gt;= 7, 6, ROUNDUP(IF(K170 &gt; 132, K170 / 40, K170 / 36), 0))</f>
        <v>4</v>
      </c>
      <c r="O170" s="28">
        <f>L170*K170</f>
        <v>3960</v>
      </c>
      <c r="P170" s="28">
        <f>K170*M170</f>
        <v>6600</v>
      </c>
      <c r="Q170" s="7">
        <v>0</v>
      </c>
      <c r="R170" s="7">
        <v>1</v>
      </c>
      <c r="S170" s="7">
        <v>4</v>
      </c>
      <c r="T170" s="7">
        <v>1</v>
      </c>
      <c r="U170" s="30" t="s">
        <v>114</v>
      </c>
      <c r="V170" s="17">
        <v>1</v>
      </c>
    </row>
    <row r="171" spans="1:22">
      <c r="A171" s="2" t="s">
        <v>138</v>
      </c>
      <c r="B171" s="2" t="s">
        <v>139</v>
      </c>
      <c r="C171" s="1" t="s">
        <v>115</v>
      </c>
      <c r="D171" s="2" t="s">
        <v>113</v>
      </c>
      <c r="E171" s="20">
        <v>81.5</v>
      </c>
      <c r="F171" s="20">
        <v>78</v>
      </c>
      <c r="G171" s="20">
        <v>78.25</v>
      </c>
      <c r="H171" s="20">
        <v>78.25</v>
      </c>
      <c r="I171" s="7">
        <v>81.5</v>
      </c>
      <c r="J171" s="14">
        <f t="shared" si="2"/>
        <v>79.5</v>
      </c>
      <c r="K171" s="8">
        <v>132</v>
      </c>
      <c r="L171" s="37">
        <v>30</v>
      </c>
      <c r="M171" s="8">
        <v>40</v>
      </c>
      <c r="N171" s="14">
        <f>IF(ROUNDUP(IF(K171 &gt; 132, K171 / 40, K171 / 36), 0) &gt;= 7, 6, ROUNDUP(IF(K171 &gt; 132, K171 / 40, K171 / 36), 0))</f>
        <v>4</v>
      </c>
      <c r="O171" s="28">
        <f>L171*K171</f>
        <v>3960</v>
      </c>
      <c r="P171" s="28">
        <f>K171*M171</f>
        <v>5280</v>
      </c>
      <c r="Q171" s="7">
        <v>0</v>
      </c>
      <c r="R171" s="7">
        <v>0</v>
      </c>
      <c r="S171" s="7">
        <v>3</v>
      </c>
      <c r="T171" s="7">
        <v>0</v>
      </c>
      <c r="U171" s="30" t="s">
        <v>116</v>
      </c>
      <c r="V171" s="17">
        <v>1</v>
      </c>
    </row>
    <row r="172" spans="1:22">
      <c r="A172" s="2" t="s">
        <v>138</v>
      </c>
      <c r="B172" s="2" t="s">
        <v>139</v>
      </c>
      <c r="C172" s="1" t="s">
        <v>117</v>
      </c>
      <c r="D172" s="2" t="s">
        <v>113</v>
      </c>
      <c r="E172" s="21">
        <v>86.1</v>
      </c>
      <c r="F172" s="21">
        <v>76.900000000000006</v>
      </c>
      <c r="G172" s="21">
        <v>76.900000000000006</v>
      </c>
      <c r="H172" s="21">
        <v>78.349999999999994</v>
      </c>
      <c r="I172" s="7">
        <v>81.55</v>
      </c>
      <c r="J172" s="14">
        <f t="shared" si="2"/>
        <v>79.960000000000008</v>
      </c>
      <c r="K172" s="8">
        <v>132</v>
      </c>
      <c r="L172" s="37">
        <v>30</v>
      </c>
      <c r="M172" s="8">
        <v>40</v>
      </c>
      <c r="N172" s="14">
        <f>IF(ROUNDUP(IF(K172 &gt; 132, K172 / 40, K172 / 36), 0) &gt;= 7, 6, ROUNDUP(IF(K172 &gt; 132, K172 / 40, K172 / 36), 0))</f>
        <v>4</v>
      </c>
      <c r="O172" s="28">
        <f>L172*K172</f>
        <v>3960</v>
      </c>
      <c r="P172" s="28">
        <f>K172*M172</f>
        <v>5280</v>
      </c>
      <c r="Q172" s="7">
        <v>0</v>
      </c>
      <c r="R172" s="7">
        <v>0</v>
      </c>
      <c r="S172" s="7">
        <v>3</v>
      </c>
      <c r="T172" s="7">
        <v>0</v>
      </c>
      <c r="U172" s="30" t="s">
        <v>118</v>
      </c>
      <c r="V172" s="17">
        <v>1</v>
      </c>
    </row>
    <row r="173" spans="1:22">
      <c r="A173" s="2" t="s">
        <v>138</v>
      </c>
      <c r="B173" s="2" t="s">
        <v>139</v>
      </c>
      <c r="C173" s="1" t="s">
        <v>119</v>
      </c>
      <c r="D173" s="30" t="s">
        <v>120</v>
      </c>
      <c r="E173" s="21">
        <v>85.4</v>
      </c>
      <c r="F173" s="21">
        <v>76.400000000000006</v>
      </c>
      <c r="G173" s="21">
        <v>71.2</v>
      </c>
      <c r="H173" s="21">
        <v>85.8</v>
      </c>
      <c r="I173" s="7">
        <v>82.35</v>
      </c>
      <c r="J173" s="14">
        <f t="shared" si="2"/>
        <v>80.22999999999999</v>
      </c>
      <c r="K173" s="8">
        <v>132</v>
      </c>
      <c r="L173" s="37">
        <v>30</v>
      </c>
      <c r="M173" s="8">
        <v>40</v>
      </c>
      <c r="N173" s="14">
        <f>IF(ROUNDUP(IF(K173 &gt; 132, K173 / 40, K173 / 36), 0) &gt;= 7, 6, ROUNDUP(IF(K173 &gt; 132, K173 / 40, K173 / 36), 0))</f>
        <v>4</v>
      </c>
      <c r="O173" s="28">
        <f>L173*K173</f>
        <v>3960</v>
      </c>
      <c r="P173" s="28">
        <f>K173*M173</f>
        <v>5280</v>
      </c>
      <c r="Q173" s="7">
        <v>1</v>
      </c>
      <c r="R173" s="7">
        <v>2</v>
      </c>
      <c r="S173" s="7">
        <v>2</v>
      </c>
      <c r="T173" s="7">
        <v>1</v>
      </c>
      <c r="U173" s="30" t="s">
        <v>121</v>
      </c>
      <c r="V173" s="17">
        <v>1</v>
      </c>
    </row>
    <row r="174" spans="1:22">
      <c r="A174" s="2" t="s">
        <v>138</v>
      </c>
      <c r="B174" s="2" t="s">
        <v>139</v>
      </c>
      <c r="C174" s="1" t="s">
        <v>122</v>
      </c>
      <c r="D174" s="2" t="s">
        <v>120</v>
      </c>
      <c r="E174" s="21">
        <v>87.1</v>
      </c>
      <c r="F174" s="21">
        <v>76.900000000000006</v>
      </c>
      <c r="G174" s="21">
        <v>72.25</v>
      </c>
      <c r="H174" s="21">
        <v>85.15</v>
      </c>
      <c r="I174" s="7">
        <v>80.75</v>
      </c>
      <c r="J174" s="14">
        <f t="shared" si="2"/>
        <v>80.429999999999993</v>
      </c>
      <c r="K174" s="8">
        <v>132</v>
      </c>
      <c r="L174" s="37">
        <v>30</v>
      </c>
      <c r="M174" s="8">
        <v>40</v>
      </c>
      <c r="N174" s="14">
        <f>IF(ROUNDUP(IF(K174 &gt; 132, K174 / 40, K174 / 36), 0) &gt;= 7, 6, ROUNDUP(IF(K174 &gt; 132, K174 / 40, K174 / 36), 0))</f>
        <v>4</v>
      </c>
      <c r="O174" s="28">
        <f>L174*K174</f>
        <v>3960</v>
      </c>
      <c r="P174" s="28">
        <f>K174*M174</f>
        <v>5280</v>
      </c>
      <c r="Q174" s="7">
        <v>1</v>
      </c>
      <c r="R174" s="7">
        <v>2</v>
      </c>
      <c r="S174" s="7">
        <v>3</v>
      </c>
      <c r="T174" s="7">
        <v>1</v>
      </c>
      <c r="U174" s="30" t="s">
        <v>123</v>
      </c>
      <c r="V174" s="17">
        <v>1</v>
      </c>
    </row>
    <row r="175" spans="1:22">
      <c r="A175" s="2" t="s">
        <v>138</v>
      </c>
      <c r="B175" s="2" t="s">
        <v>139</v>
      </c>
      <c r="C175" s="1" t="s">
        <v>126</v>
      </c>
      <c r="D175" s="2" t="s">
        <v>120</v>
      </c>
      <c r="E175" s="21">
        <v>77.8</v>
      </c>
      <c r="F175" s="21">
        <v>75</v>
      </c>
      <c r="G175" s="21">
        <v>70.900000000000006</v>
      </c>
      <c r="H175" s="21">
        <v>86.05</v>
      </c>
      <c r="I175" s="7">
        <v>83.7</v>
      </c>
      <c r="J175" s="14">
        <f t="shared" si="2"/>
        <v>78.69</v>
      </c>
      <c r="K175" s="8">
        <v>132</v>
      </c>
      <c r="L175" s="8">
        <v>40</v>
      </c>
      <c r="M175" s="8">
        <v>50</v>
      </c>
      <c r="N175" s="14">
        <f>IF(ROUNDUP(IF(K175 &gt; 132, K175 / 40, K175 / 36), 0) &gt;= 7, 6, ROUNDUP(IF(K175 &gt; 132, K175 / 40, K175 / 36), 0))</f>
        <v>4</v>
      </c>
      <c r="O175" s="28">
        <f>L175*K175</f>
        <v>5280</v>
      </c>
      <c r="P175" s="28">
        <f>K175*M175</f>
        <v>6600</v>
      </c>
      <c r="Q175" s="7">
        <v>1</v>
      </c>
      <c r="R175" s="7">
        <v>2</v>
      </c>
      <c r="S175" s="7">
        <v>2</v>
      </c>
      <c r="T175" s="7">
        <v>2</v>
      </c>
      <c r="U175" s="30" t="s">
        <v>127</v>
      </c>
      <c r="V175" s="17">
        <v>1</v>
      </c>
    </row>
    <row r="176" spans="1:22">
      <c r="A176" s="2" t="s">
        <v>138</v>
      </c>
      <c r="B176" s="2" t="s">
        <v>139</v>
      </c>
      <c r="C176" s="1" t="s">
        <v>128</v>
      </c>
      <c r="D176" s="2" t="s">
        <v>120</v>
      </c>
      <c r="E176" s="20">
        <v>85.1</v>
      </c>
      <c r="F176" s="20">
        <v>78.400000000000006</v>
      </c>
      <c r="G176" s="20">
        <v>77.8</v>
      </c>
      <c r="H176" s="20">
        <v>88.25</v>
      </c>
      <c r="I176" s="7">
        <v>80.8</v>
      </c>
      <c r="J176" s="14">
        <f t="shared" si="2"/>
        <v>82.070000000000007</v>
      </c>
      <c r="K176" s="8">
        <v>132</v>
      </c>
      <c r="L176" s="8">
        <v>22</v>
      </c>
      <c r="M176" s="8">
        <v>45</v>
      </c>
      <c r="N176" s="14">
        <f>IF(ROUNDUP(IF(K176 &gt; 132, K176 / 40, K176 / 36), 0) &gt;= 7, 6, ROUNDUP(IF(K176 &gt; 132, K176 / 40, K176 / 36), 0))</f>
        <v>4</v>
      </c>
      <c r="O176" s="28">
        <f>L176*K176</f>
        <v>2904</v>
      </c>
      <c r="P176" s="28">
        <f>K176*M176</f>
        <v>5940</v>
      </c>
      <c r="Q176" s="7">
        <v>1</v>
      </c>
      <c r="R176" s="7">
        <v>2</v>
      </c>
      <c r="S176" s="7">
        <v>3</v>
      </c>
      <c r="T176" s="7">
        <v>2</v>
      </c>
      <c r="U176" s="30" t="s">
        <v>129</v>
      </c>
      <c r="V176" s="17">
        <v>1</v>
      </c>
    </row>
    <row r="177" spans="1:22">
      <c r="A177" s="2" t="s">
        <v>138</v>
      </c>
      <c r="B177" s="2" t="s">
        <v>139</v>
      </c>
      <c r="C177" s="1" t="s">
        <v>130</v>
      </c>
      <c r="D177" s="2" t="s">
        <v>120</v>
      </c>
      <c r="E177" s="20">
        <v>80.5</v>
      </c>
      <c r="F177" s="20">
        <v>80.5</v>
      </c>
      <c r="G177" s="20">
        <v>80.5</v>
      </c>
      <c r="H177" s="20">
        <v>80.5</v>
      </c>
      <c r="I177" s="7">
        <v>78.7</v>
      </c>
      <c r="J177" s="14">
        <f t="shared" si="2"/>
        <v>80.14</v>
      </c>
      <c r="K177" s="8">
        <v>132</v>
      </c>
      <c r="L177" s="8">
        <v>30</v>
      </c>
      <c r="M177" s="8">
        <v>40</v>
      </c>
      <c r="N177" s="14">
        <f>IF(ROUNDUP(IF(K177 &gt; 132, K177 / 40, K177 / 36), 0) &gt;= 7, 6, ROUNDUP(IF(K177 &gt; 132, K177 / 40, K177 / 36), 0))</f>
        <v>4</v>
      </c>
      <c r="O177" s="28">
        <f>L177*K177</f>
        <v>3960</v>
      </c>
      <c r="P177" s="28">
        <f>K177*M177</f>
        <v>5280</v>
      </c>
      <c r="Q177" s="7">
        <v>1</v>
      </c>
      <c r="R177" s="7">
        <v>2</v>
      </c>
      <c r="S177" s="7">
        <v>2</v>
      </c>
      <c r="T177" s="7">
        <v>0</v>
      </c>
      <c r="U177" s="30" t="s">
        <v>131</v>
      </c>
      <c r="V177" s="17">
        <v>1</v>
      </c>
    </row>
    <row r="178" spans="1:22">
      <c r="A178" s="2" t="s">
        <v>138</v>
      </c>
      <c r="B178" s="2" t="s">
        <v>139</v>
      </c>
      <c r="C178" s="1" t="s">
        <v>132</v>
      </c>
      <c r="D178" s="2" t="s">
        <v>120</v>
      </c>
      <c r="E178" s="21">
        <v>73.400000000000006</v>
      </c>
      <c r="F178" s="21">
        <v>72.5</v>
      </c>
      <c r="G178" s="21">
        <v>66.599999999999994</v>
      </c>
      <c r="H178" s="21">
        <v>77.3</v>
      </c>
      <c r="I178" s="7">
        <v>74.95</v>
      </c>
      <c r="J178" s="14">
        <f t="shared" si="2"/>
        <v>72.95</v>
      </c>
      <c r="K178" s="8">
        <v>132</v>
      </c>
      <c r="L178" s="8">
        <v>30</v>
      </c>
      <c r="M178" s="8">
        <v>40</v>
      </c>
      <c r="N178" s="14">
        <f>IF(ROUNDUP(IF(K178 &gt; 132, K178 / 40, K178 / 36), 0) &gt;= 7, 6, ROUNDUP(IF(K178 &gt; 132, K178 / 40, K178 / 36), 0))</f>
        <v>4</v>
      </c>
      <c r="O178" s="28">
        <f>L178*K178</f>
        <v>3960</v>
      </c>
      <c r="P178" s="28">
        <f>K178*M178</f>
        <v>5280</v>
      </c>
      <c r="Q178" s="7">
        <v>0</v>
      </c>
      <c r="R178" s="7">
        <v>1</v>
      </c>
      <c r="S178" s="7">
        <v>3</v>
      </c>
      <c r="T178" s="7">
        <v>1</v>
      </c>
      <c r="U178" s="30" t="s">
        <v>133</v>
      </c>
      <c r="V178" s="17">
        <v>1</v>
      </c>
    </row>
    <row r="179" spans="1:22">
      <c r="A179" s="38" t="s">
        <v>143</v>
      </c>
      <c r="B179" s="30" t="s">
        <v>144</v>
      </c>
      <c r="C179" s="32" t="s">
        <v>31</v>
      </c>
      <c r="D179" s="30" t="s">
        <v>25</v>
      </c>
      <c r="E179" s="11">
        <v>92.1</v>
      </c>
      <c r="F179" s="11">
        <v>85.8</v>
      </c>
      <c r="G179" s="11">
        <v>87.6</v>
      </c>
      <c r="H179" s="11">
        <v>89.05</v>
      </c>
      <c r="I179" s="11">
        <v>85.5</v>
      </c>
      <c r="J179" s="14">
        <f t="shared" si="2"/>
        <v>88.01</v>
      </c>
      <c r="K179" s="8">
        <v>135</v>
      </c>
      <c r="L179" s="8">
        <v>45</v>
      </c>
      <c r="M179" s="8">
        <v>65</v>
      </c>
      <c r="N179" s="14">
        <f>IF(ROUNDUP(IF(K179 &gt; 132, K179 / 40, K179 / 36), 0) &gt;= 7, 6, ROUNDUP(IF(K179 &gt; 132, K179 / 40, K179 / 36), 0))</f>
        <v>4</v>
      </c>
      <c r="O179" s="28">
        <f>L179*K179</f>
        <v>6075</v>
      </c>
      <c r="P179" s="28">
        <f>K179*M179</f>
        <v>8775</v>
      </c>
      <c r="Q179" s="7">
        <v>1</v>
      </c>
      <c r="R179" s="7">
        <v>3</v>
      </c>
      <c r="S179" s="7">
        <v>3</v>
      </c>
      <c r="T179" s="7">
        <v>2</v>
      </c>
      <c r="U179" s="39" t="s">
        <v>145</v>
      </c>
      <c r="V179" s="17">
        <v>1</v>
      </c>
    </row>
    <row r="180" spans="1:22">
      <c r="A180" s="40" t="s">
        <v>143</v>
      </c>
      <c r="B180" s="41" t="s">
        <v>146</v>
      </c>
      <c r="C180" s="42" t="s">
        <v>33</v>
      </c>
      <c r="D180" s="49" t="s">
        <v>25</v>
      </c>
      <c r="E180" s="21">
        <v>94.7</v>
      </c>
      <c r="F180" s="21">
        <v>82.75</v>
      </c>
      <c r="G180" s="21">
        <v>88.1</v>
      </c>
      <c r="H180" s="21">
        <v>89.4</v>
      </c>
      <c r="I180" s="7">
        <v>89</v>
      </c>
      <c r="J180" s="14">
        <f t="shared" si="2"/>
        <v>88.789999999999992</v>
      </c>
      <c r="K180" s="8">
        <v>132</v>
      </c>
      <c r="L180" s="8">
        <v>50</v>
      </c>
      <c r="M180" s="8">
        <v>75</v>
      </c>
      <c r="N180" s="14">
        <f>IF(ROUNDUP(IF(K180 &gt; 132, K180 / 40, K180 / 36), 0) &gt;= 7, 6, ROUNDUP(IF(K180 &gt; 132, K180 / 40, K180 / 36), 0))</f>
        <v>4</v>
      </c>
      <c r="O180" s="28">
        <f>L180*K180</f>
        <v>6600</v>
      </c>
      <c r="P180" s="28">
        <f>K180*M180</f>
        <v>9900</v>
      </c>
      <c r="Q180" s="7">
        <v>1</v>
      </c>
      <c r="R180" s="7">
        <v>4</v>
      </c>
      <c r="S180" s="7">
        <v>3</v>
      </c>
      <c r="T180" s="7">
        <v>1</v>
      </c>
      <c r="U180" s="39" t="s">
        <v>147</v>
      </c>
      <c r="V180" s="17">
        <v>1</v>
      </c>
    </row>
    <row r="181" spans="1:22">
      <c r="A181" s="40" t="s">
        <v>143</v>
      </c>
      <c r="B181" s="41" t="s">
        <v>146</v>
      </c>
      <c r="C181" s="1" t="s">
        <v>148</v>
      </c>
      <c r="D181" s="2" t="s">
        <v>25</v>
      </c>
      <c r="E181" s="9">
        <v>75.7</v>
      </c>
      <c r="F181" s="43">
        <v>82.95</v>
      </c>
      <c r="G181" s="9">
        <v>75.7</v>
      </c>
      <c r="H181" s="43">
        <v>82.95</v>
      </c>
      <c r="I181" s="43">
        <v>82.95</v>
      </c>
      <c r="J181" s="14">
        <f t="shared" si="2"/>
        <v>80.05</v>
      </c>
      <c r="K181" s="8">
        <v>132</v>
      </c>
      <c r="L181" s="8">
        <v>50</v>
      </c>
      <c r="M181" s="8">
        <v>75</v>
      </c>
      <c r="N181" s="14">
        <f>IF(ROUNDUP(IF(K181 &gt; 132, K181 / 40, K181 / 36), 0) &gt;= 7, 6, ROUNDUP(IF(K181 &gt; 132, K181 / 40, K181 / 36), 0))</f>
        <v>4</v>
      </c>
      <c r="O181" s="28">
        <f>L181*K181</f>
        <v>6600</v>
      </c>
      <c r="P181" s="28">
        <f>K181*M181</f>
        <v>9900</v>
      </c>
      <c r="Q181" s="7">
        <v>1</v>
      </c>
      <c r="R181" s="7">
        <v>3</v>
      </c>
      <c r="S181" s="7">
        <v>3</v>
      </c>
      <c r="T181" s="7">
        <v>1</v>
      </c>
      <c r="U181" s="39" t="s">
        <v>149</v>
      </c>
      <c r="V181" s="15">
        <v>1</v>
      </c>
    </row>
    <row r="182" spans="1:22">
      <c r="A182" s="40" t="s">
        <v>143</v>
      </c>
      <c r="B182" s="30" t="s">
        <v>144</v>
      </c>
      <c r="C182" s="1" t="s">
        <v>150</v>
      </c>
      <c r="D182" s="2" t="s">
        <v>25</v>
      </c>
      <c r="E182" s="9">
        <v>90.7</v>
      </c>
      <c r="F182" s="9">
        <v>90</v>
      </c>
      <c r="G182" s="9">
        <v>80.3</v>
      </c>
      <c r="H182" s="9">
        <v>80.3</v>
      </c>
      <c r="I182" s="43">
        <v>84.35</v>
      </c>
      <c r="J182" s="14">
        <f t="shared" si="2"/>
        <v>85.13</v>
      </c>
      <c r="K182" s="8">
        <v>132</v>
      </c>
      <c r="L182" s="8">
        <v>50</v>
      </c>
      <c r="M182" s="8">
        <v>75</v>
      </c>
      <c r="N182" s="14">
        <f>IF(ROUNDUP(IF(K182 &gt; 132, K182 / 40, K182 / 36), 0) &gt;= 7, 6, ROUNDUP(IF(K182 &gt; 132, K182 / 40, K182 / 36), 0))</f>
        <v>4</v>
      </c>
      <c r="O182" s="28">
        <f>L182*K182</f>
        <v>6600</v>
      </c>
      <c r="P182" s="28">
        <f>K182*M182</f>
        <v>9900</v>
      </c>
      <c r="Q182" s="7">
        <v>1</v>
      </c>
      <c r="R182" s="7">
        <v>4</v>
      </c>
      <c r="S182" s="7">
        <v>2</v>
      </c>
      <c r="T182" s="7">
        <v>2</v>
      </c>
      <c r="U182" s="39" t="s">
        <v>151</v>
      </c>
      <c r="V182" s="17">
        <v>1</v>
      </c>
    </row>
    <row r="183" spans="1:22">
      <c r="A183" s="40" t="s">
        <v>143</v>
      </c>
      <c r="B183" s="41" t="s">
        <v>146</v>
      </c>
      <c r="C183" s="35" t="s">
        <v>41</v>
      </c>
      <c r="D183" s="35" t="s">
        <v>42</v>
      </c>
      <c r="E183" s="11">
        <v>92.4</v>
      </c>
      <c r="F183" s="11">
        <v>80.150000000000006</v>
      </c>
      <c r="G183" s="11">
        <v>80</v>
      </c>
      <c r="H183" s="11">
        <v>85.3</v>
      </c>
      <c r="I183" s="11">
        <v>80.05</v>
      </c>
      <c r="J183" s="14">
        <f t="shared" si="2"/>
        <v>83.580000000000013</v>
      </c>
      <c r="K183" s="28">
        <v>171</v>
      </c>
      <c r="L183" s="8">
        <v>40</v>
      </c>
      <c r="M183" s="8">
        <v>60</v>
      </c>
      <c r="N183" s="14">
        <f>IF(ROUNDUP(IF(K183 &gt; 132, K183 / 40, K183 / 36), 0) &gt;= 7, 6, ROUNDUP(IF(K183 &gt; 132, K183 / 40, K183 / 36), 0))</f>
        <v>5</v>
      </c>
      <c r="O183" s="28">
        <f>L183*K183</f>
        <v>6840</v>
      </c>
      <c r="P183" s="28">
        <f>K183*M183</f>
        <v>10260</v>
      </c>
      <c r="Q183" s="7">
        <v>1</v>
      </c>
      <c r="R183" s="7">
        <v>3</v>
      </c>
      <c r="S183" s="7">
        <v>4</v>
      </c>
      <c r="T183" s="7">
        <v>1</v>
      </c>
      <c r="U183" s="39" t="s">
        <v>152</v>
      </c>
      <c r="V183" s="17">
        <v>1</v>
      </c>
    </row>
    <row r="184" spans="1:22">
      <c r="A184" s="40" t="s">
        <v>143</v>
      </c>
      <c r="B184" s="41" t="s">
        <v>146</v>
      </c>
      <c r="C184" s="30" t="s">
        <v>44</v>
      </c>
      <c r="D184" s="35" t="s">
        <v>42</v>
      </c>
      <c r="E184" s="11">
        <v>90.9</v>
      </c>
      <c r="F184" s="11">
        <v>80.099999999999994</v>
      </c>
      <c r="G184" s="11">
        <v>80</v>
      </c>
      <c r="H184" s="11">
        <v>80.650000000000006</v>
      </c>
      <c r="I184" s="11">
        <v>80</v>
      </c>
      <c r="J184" s="14">
        <f t="shared" si="2"/>
        <v>82.33</v>
      </c>
      <c r="K184" s="8">
        <v>160</v>
      </c>
      <c r="L184" s="8">
        <v>40</v>
      </c>
      <c r="M184" s="8">
        <v>60</v>
      </c>
      <c r="N184" s="14">
        <f>IF(ROUNDUP(IF(K184 &gt; 132, K184 / 40, K184 / 36), 0) &gt;= 7, 6, ROUNDUP(IF(K184 &gt; 132, K184 / 40, K184 / 36), 0))</f>
        <v>4</v>
      </c>
      <c r="O184" s="28">
        <f>L184*K184</f>
        <v>6400</v>
      </c>
      <c r="P184" s="28">
        <f>K184*M184</f>
        <v>9600</v>
      </c>
      <c r="Q184" s="7">
        <v>1</v>
      </c>
      <c r="R184" s="7">
        <v>4</v>
      </c>
      <c r="S184" s="36">
        <v>4</v>
      </c>
      <c r="T184" s="7">
        <v>1</v>
      </c>
      <c r="U184" s="39" t="s">
        <v>153</v>
      </c>
      <c r="V184" s="17">
        <v>1</v>
      </c>
    </row>
    <row r="185" spans="1:22">
      <c r="A185" s="40" t="s">
        <v>143</v>
      </c>
      <c r="B185" s="41" t="s">
        <v>146</v>
      </c>
      <c r="C185" s="30" t="s">
        <v>154</v>
      </c>
      <c r="D185" s="35" t="s">
        <v>42</v>
      </c>
      <c r="E185" s="11">
        <v>90.3</v>
      </c>
      <c r="F185" s="11">
        <v>83.2</v>
      </c>
      <c r="G185" s="11">
        <v>81.2</v>
      </c>
      <c r="H185" s="11">
        <v>88.2</v>
      </c>
      <c r="I185" s="11">
        <v>80</v>
      </c>
      <c r="J185" s="14">
        <f t="shared" si="2"/>
        <v>84.58</v>
      </c>
      <c r="K185" s="8">
        <v>163</v>
      </c>
      <c r="L185" s="8">
        <v>50</v>
      </c>
      <c r="M185" s="8">
        <v>70</v>
      </c>
      <c r="N185" s="14">
        <f>IF(ROUNDUP(IF(K185 &gt; 132, K185 / 40, K185 / 36), 0) &gt;= 7, 6, ROUNDUP(IF(K185 &gt; 132, K185 / 40, K185 / 36), 0))</f>
        <v>5</v>
      </c>
      <c r="O185" s="28">
        <f>L185*K185</f>
        <v>8150</v>
      </c>
      <c r="P185" s="28">
        <f>K185*M185</f>
        <v>11410</v>
      </c>
      <c r="Q185" s="7">
        <v>1</v>
      </c>
      <c r="R185" s="7">
        <v>3</v>
      </c>
      <c r="S185" s="7">
        <v>3</v>
      </c>
      <c r="T185" s="7">
        <v>2</v>
      </c>
      <c r="U185" s="39" t="s">
        <v>155</v>
      </c>
      <c r="V185" s="17">
        <v>1</v>
      </c>
    </row>
    <row r="186" spans="1:22">
      <c r="A186" s="40" t="s">
        <v>143</v>
      </c>
      <c r="B186" s="41" t="s">
        <v>146</v>
      </c>
      <c r="C186" s="30" t="s">
        <v>156</v>
      </c>
      <c r="D186" s="35" t="s">
        <v>42</v>
      </c>
      <c r="E186" s="16">
        <v>87.1</v>
      </c>
      <c r="F186" s="16">
        <v>87.1</v>
      </c>
      <c r="G186" s="16">
        <v>80.150000000000006</v>
      </c>
      <c r="H186" s="16">
        <v>80.150000000000006</v>
      </c>
      <c r="I186" s="43">
        <v>80</v>
      </c>
      <c r="J186" s="14">
        <f t="shared" si="2"/>
        <v>82.9</v>
      </c>
      <c r="K186" s="8">
        <v>163</v>
      </c>
      <c r="L186" s="8">
        <v>30</v>
      </c>
      <c r="M186" s="8">
        <v>50</v>
      </c>
      <c r="N186" s="14">
        <f>IF(ROUNDUP(IF(K186 &gt; 132, K186 / 40, K186 / 36), 0) &gt;= 7, 6, ROUNDUP(IF(K186 &gt; 132, K186 / 40, K186 / 36), 0))</f>
        <v>5</v>
      </c>
      <c r="O186" s="28">
        <f>L186*K186</f>
        <v>4890</v>
      </c>
      <c r="P186" s="28">
        <f>K186*M186</f>
        <v>8150</v>
      </c>
      <c r="Q186" s="7">
        <v>1</v>
      </c>
      <c r="R186" s="7">
        <v>3</v>
      </c>
      <c r="S186" s="7">
        <v>3</v>
      </c>
      <c r="T186" s="7">
        <v>1</v>
      </c>
      <c r="U186" s="39" t="s">
        <v>157</v>
      </c>
      <c r="V186" s="17">
        <v>1</v>
      </c>
    </row>
    <row r="187" spans="1:22">
      <c r="A187" s="40" t="s">
        <v>143</v>
      </c>
      <c r="B187" s="30" t="s">
        <v>144</v>
      </c>
      <c r="C187" s="30" t="s">
        <v>61</v>
      </c>
      <c r="D187" s="30" t="s">
        <v>59</v>
      </c>
      <c r="E187" s="11">
        <v>86.5</v>
      </c>
      <c r="F187" s="11">
        <v>74.599999999999994</v>
      </c>
      <c r="G187" s="11">
        <v>75.599999999999994</v>
      </c>
      <c r="H187" s="11">
        <v>82.3</v>
      </c>
      <c r="I187" s="43">
        <v>82.5</v>
      </c>
      <c r="J187" s="14">
        <f t="shared" si="2"/>
        <v>80.3</v>
      </c>
      <c r="K187" s="8">
        <v>132</v>
      </c>
      <c r="L187" s="8">
        <v>30</v>
      </c>
      <c r="M187" s="8">
        <v>45</v>
      </c>
      <c r="N187" s="14">
        <f>IF(ROUNDUP(IF(K187 &gt; 132, K187 / 40, K187 / 36), 0) &gt;= 7, 6, ROUNDUP(IF(K187 &gt; 132, K187 / 40, K187 / 36), 0))</f>
        <v>4</v>
      </c>
      <c r="O187" s="28">
        <f>L187*K187</f>
        <v>3960</v>
      </c>
      <c r="P187" s="28">
        <f>K187*M187</f>
        <v>5940</v>
      </c>
      <c r="Q187" s="7">
        <v>0</v>
      </c>
      <c r="R187" s="7">
        <v>1</v>
      </c>
      <c r="S187" s="7">
        <v>3</v>
      </c>
      <c r="T187" s="7">
        <v>1</v>
      </c>
      <c r="U187" s="39" t="s">
        <v>158</v>
      </c>
      <c r="V187" s="17">
        <v>1</v>
      </c>
    </row>
    <row r="188" spans="1:22">
      <c r="A188" s="40" t="s">
        <v>143</v>
      </c>
      <c r="B188" s="41" t="s">
        <v>146</v>
      </c>
      <c r="C188" s="30" t="s">
        <v>63</v>
      </c>
      <c r="D188" s="30" t="s">
        <v>59</v>
      </c>
      <c r="E188" s="11">
        <v>85.3</v>
      </c>
      <c r="F188" s="11">
        <v>71.150000000000006</v>
      </c>
      <c r="G188" s="11">
        <v>70.150000000000006</v>
      </c>
      <c r="H188" s="11">
        <v>77.900000000000006</v>
      </c>
      <c r="I188" s="11">
        <v>71.900000000000006</v>
      </c>
      <c r="J188" s="14">
        <f t="shared" si="2"/>
        <v>75.28</v>
      </c>
      <c r="K188" s="8">
        <v>132</v>
      </c>
      <c r="L188" s="8">
        <v>30</v>
      </c>
      <c r="M188" s="8">
        <v>45</v>
      </c>
      <c r="N188" s="14">
        <f>IF(ROUNDUP(IF(K188 &gt; 132, K188 / 40, K188 / 36), 0) &gt;= 7, 6, ROUNDUP(IF(K188 &gt; 132, K188 / 40, K188 / 36), 0))</f>
        <v>4</v>
      </c>
      <c r="O188" s="28">
        <f>L188*K188</f>
        <v>3960</v>
      </c>
      <c r="P188" s="28">
        <f>K188*M188</f>
        <v>5940</v>
      </c>
      <c r="Q188" s="7">
        <v>0</v>
      </c>
      <c r="R188" s="7">
        <v>1</v>
      </c>
      <c r="S188" s="7">
        <v>4</v>
      </c>
      <c r="T188" s="7">
        <v>1</v>
      </c>
      <c r="U188" s="39" t="s">
        <v>159</v>
      </c>
      <c r="V188" s="15">
        <v>1</v>
      </c>
    </row>
    <row r="189" spans="1:22">
      <c r="A189" s="40" t="s">
        <v>143</v>
      </c>
      <c r="B189" s="41" t="s">
        <v>146</v>
      </c>
      <c r="C189" s="30" t="s">
        <v>67</v>
      </c>
      <c r="D189" s="30" t="s">
        <v>59</v>
      </c>
      <c r="E189" s="11">
        <v>87.7</v>
      </c>
      <c r="F189" s="11">
        <v>74.75</v>
      </c>
      <c r="G189" s="11">
        <v>73.05</v>
      </c>
      <c r="H189" s="11">
        <v>79.650000000000006</v>
      </c>
      <c r="I189" s="11">
        <v>73.95</v>
      </c>
      <c r="J189" s="14">
        <f t="shared" si="2"/>
        <v>77.819999999999993</v>
      </c>
      <c r="K189" s="8">
        <v>132</v>
      </c>
      <c r="L189" s="8">
        <v>30</v>
      </c>
      <c r="M189" s="8">
        <v>45</v>
      </c>
      <c r="N189" s="14">
        <f>IF(ROUNDUP(IF(K189 &gt; 132, K189 / 40, K189 / 36), 0) &gt;= 7, 6, ROUNDUP(IF(K189 &gt; 132, K189 / 40, K189 / 36), 0))</f>
        <v>4</v>
      </c>
      <c r="O189" s="28">
        <f>L189*K189</f>
        <v>3960</v>
      </c>
      <c r="P189" s="28">
        <f>K189*M189</f>
        <v>5940</v>
      </c>
      <c r="Q189" s="7">
        <v>0</v>
      </c>
      <c r="R189" s="7">
        <v>0</v>
      </c>
      <c r="S189" s="7">
        <v>3</v>
      </c>
      <c r="T189" s="7">
        <v>1</v>
      </c>
      <c r="U189" s="39" t="s">
        <v>160</v>
      </c>
      <c r="V189" s="17">
        <v>1</v>
      </c>
    </row>
    <row r="190" spans="1:22">
      <c r="A190" s="40" t="s">
        <v>143</v>
      </c>
      <c r="B190" s="41" t="s">
        <v>146</v>
      </c>
      <c r="C190" s="44" t="s">
        <v>161</v>
      </c>
      <c r="D190" s="30" t="s">
        <v>59</v>
      </c>
      <c r="E190" s="7">
        <v>78.7</v>
      </c>
      <c r="F190" s="7">
        <v>78.7</v>
      </c>
      <c r="G190" s="7">
        <v>74.75</v>
      </c>
      <c r="H190" s="7">
        <v>74.75</v>
      </c>
      <c r="I190" s="43">
        <v>78.7</v>
      </c>
      <c r="J190" s="14">
        <f t="shared" si="2"/>
        <v>77.11999999999999</v>
      </c>
      <c r="K190" s="8">
        <v>132</v>
      </c>
      <c r="L190" s="8">
        <v>35</v>
      </c>
      <c r="M190" s="8">
        <v>55</v>
      </c>
      <c r="N190" s="14">
        <f>IF(ROUNDUP(IF(K190 &gt; 132, K190 / 40, K190 / 36), 0) &gt;= 7, 6, ROUNDUP(IF(K190 &gt; 132, K190 / 40, K190 / 36), 0))</f>
        <v>4</v>
      </c>
      <c r="O190" s="28">
        <f>L190*K190</f>
        <v>4620</v>
      </c>
      <c r="P190" s="28">
        <f>K190*M190</f>
        <v>7260</v>
      </c>
      <c r="Q190" s="7">
        <v>1</v>
      </c>
      <c r="R190" s="7">
        <v>2</v>
      </c>
      <c r="S190" s="7">
        <v>2</v>
      </c>
      <c r="T190" s="7">
        <v>2</v>
      </c>
      <c r="U190" s="39" t="s">
        <v>162</v>
      </c>
      <c r="V190" s="17">
        <v>1</v>
      </c>
    </row>
    <row r="191" spans="1:22">
      <c r="A191" s="40" t="s">
        <v>143</v>
      </c>
      <c r="B191" s="41" t="s">
        <v>146</v>
      </c>
      <c r="C191" s="30" t="s">
        <v>69</v>
      </c>
      <c r="D191" s="30" t="s">
        <v>59</v>
      </c>
      <c r="E191" s="11">
        <v>84.5</v>
      </c>
      <c r="F191" s="11">
        <v>78.349999999999994</v>
      </c>
      <c r="G191" s="11">
        <v>77.5</v>
      </c>
      <c r="H191" s="11">
        <v>88.1</v>
      </c>
      <c r="I191" s="43">
        <v>96.94</v>
      </c>
      <c r="J191" s="14">
        <f t="shared" si="2"/>
        <v>85.078000000000003</v>
      </c>
      <c r="K191" s="8">
        <v>132</v>
      </c>
      <c r="L191" s="8">
        <v>40</v>
      </c>
      <c r="M191" s="8">
        <v>55</v>
      </c>
      <c r="N191" s="14">
        <f>IF(ROUNDUP(IF(K191 &gt; 132, K191 / 40, K191 / 36), 0) &gt;= 7, 6, ROUNDUP(IF(K191 &gt; 132, K191 / 40, K191 / 36), 0))</f>
        <v>4</v>
      </c>
      <c r="O191" s="28">
        <f>L191*K191</f>
        <v>5280</v>
      </c>
      <c r="P191" s="28">
        <f>K191*M191</f>
        <v>7260</v>
      </c>
      <c r="Q191" s="7">
        <v>1</v>
      </c>
      <c r="R191" s="7">
        <v>1</v>
      </c>
      <c r="S191" s="7">
        <v>3</v>
      </c>
      <c r="T191" s="7">
        <v>2</v>
      </c>
      <c r="U191" s="39" t="s">
        <v>163</v>
      </c>
      <c r="V191" s="17">
        <v>1</v>
      </c>
    </row>
    <row r="192" spans="1:22">
      <c r="A192" s="40" t="s">
        <v>143</v>
      </c>
      <c r="B192" s="41" t="s">
        <v>146</v>
      </c>
      <c r="C192" s="45" t="s">
        <v>164</v>
      </c>
      <c r="D192" s="30" t="s">
        <v>59</v>
      </c>
      <c r="E192" s="11">
        <v>77.099999999999994</v>
      </c>
      <c r="F192" s="11">
        <v>66.650000000000006</v>
      </c>
      <c r="G192" s="11">
        <v>66.75</v>
      </c>
      <c r="H192" s="11">
        <v>74.099999999999994</v>
      </c>
      <c r="I192" s="11">
        <v>70.95</v>
      </c>
      <c r="J192" s="14">
        <f t="shared" si="2"/>
        <v>71.11</v>
      </c>
      <c r="K192" s="8">
        <v>132</v>
      </c>
      <c r="L192" s="8">
        <v>30</v>
      </c>
      <c r="M192" s="8">
        <v>45</v>
      </c>
      <c r="N192" s="14">
        <f>IF(ROUNDUP(IF(K192 &gt; 132, K192 / 40, K192 / 36), 0) &gt;= 7, 6, ROUNDUP(IF(K192 &gt; 132, K192 / 40, K192 / 36), 0))</f>
        <v>4</v>
      </c>
      <c r="O192" s="28">
        <f>L192*K192</f>
        <v>3960</v>
      </c>
      <c r="P192" s="28">
        <f>K192*M192</f>
        <v>5940</v>
      </c>
      <c r="Q192" s="7">
        <v>0</v>
      </c>
      <c r="R192" s="7">
        <v>2</v>
      </c>
      <c r="S192" s="7">
        <v>2</v>
      </c>
      <c r="T192" s="7">
        <v>0</v>
      </c>
      <c r="U192" s="39" t="s">
        <v>165</v>
      </c>
      <c r="V192" s="17">
        <v>1</v>
      </c>
    </row>
    <row r="193" spans="1:22">
      <c r="A193" s="40" t="s">
        <v>143</v>
      </c>
      <c r="B193" s="41" t="s">
        <v>146</v>
      </c>
      <c r="C193" s="46" t="s">
        <v>166</v>
      </c>
      <c r="D193" s="30" t="s">
        <v>59</v>
      </c>
      <c r="E193" s="11">
        <v>82.5</v>
      </c>
      <c r="F193" s="11">
        <v>75.5</v>
      </c>
      <c r="G193" s="11">
        <v>71.5</v>
      </c>
      <c r="H193" s="11">
        <v>80.2</v>
      </c>
      <c r="I193" s="11">
        <v>79.2</v>
      </c>
      <c r="J193" s="14">
        <f t="shared" si="2"/>
        <v>77.78</v>
      </c>
      <c r="K193" s="8">
        <v>132</v>
      </c>
      <c r="L193" s="8">
        <v>30</v>
      </c>
      <c r="M193" s="8">
        <v>45</v>
      </c>
      <c r="N193" s="14">
        <f>IF(ROUNDUP(IF(K193 &gt; 132, K193 / 40, K193 / 36), 0) &gt;= 7, 6, ROUNDUP(IF(K193 &gt; 132, K193 / 40, K193 / 36), 0))</f>
        <v>4</v>
      </c>
      <c r="O193" s="28">
        <f>L193*K193</f>
        <v>3960</v>
      </c>
      <c r="P193" s="28">
        <f>K193*M193</f>
        <v>5940</v>
      </c>
      <c r="Q193" s="7">
        <v>1</v>
      </c>
      <c r="R193" s="7">
        <v>1</v>
      </c>
      <c r="S193" s="7">
        <v>3</v>
      </c>
      <c r="T193" s="7">
        <v>2</v>
      </c>
      <c r="U193" s="39" t="s">
        <v>167</v>
      </c>
      <c r="V193" s="17">
        <v>1</v>
      </c>
    </row>
    <row r="194" spans="1:22">
      <c r="A194" s="40" t="s">
        <v>143</v>
      </c>
      <c r="B194" s="41" t="s">
        <v>146</v>
      </c>
      <c r="C194" s="30" t="s">
        <v>71</v>
      </c>
      <c r="D194" s="30" t="s">
        <v>59</v>
      </c>
      <c r="E194" s="7">
        <v>78.5</v>
      </c>
      <c r="F194" s="11">
        <v>78.5</v>
      </c>
      <c r="G194" s="11">
        <v>79.3</v>
      </c>
      <c r="H194" s="11">
        <v>86.85</v>
      </c>
      <c r="I194" s="11">
        <v>86.45</v>
      </c>
      <c r="J194" s="14">
        <f t="shared" si="2"/>
        <v>81.919999999999987</v>
      </c>
      <c r="K194" s="8">
        <v>132</v>
      </c>
      <c r="L194" s="8">
        <v>50</v>
      </c>
      <c r="M194" s="8">
        <v>75</v>
      </c>
      <c r="N194" s="14">
        <f>IF(ROUNDUP(IF(K194 &gt; 132, K194 / 40, K194 / 36), 0) &gt;= 7, 6, ROUNDUP(IF(K194 &gt; 132, K194 / 40, K194 / 36), 0))</f>
        <v>4</v>
      </c>
      <c r="O194" s="28">
        <f>L194*K194</f>
        <v>6600</v>
      </c>
      <c r="P194" s="28">
        <f>K194*M194</f>
        <v>9900</v>
      </c>
      <c r="Q194" s="7">
        <v>1</v>
      </c>
      <c r="R194" s="7">
        <v>3</v>
      </c>
      <c r="S194" s="7">
        <v>4</v>
      </c>
      <c r="T194" s="7">
        <v>2</v>
      </c>
      <c r="U194" s="39" t="s">
        <v>168</v>
      </c>
      <c r="V194" s="17">
        <v>1</v>
      </c>
    </row>
    <row r="195" spans="1:22">
      <c r="A195" s="40" t="s">
        <v>143</v>
      </c>
      <c r="B195" s="41" t="s">
        <v>146</v>
      </c>
      <c r="C195" s="30" t="s">
        <v>73</v>
      </c>
      <c r="D195" s="30" t="s">
        <v>59</v>
      </c>
      <c r="E195" s="7">
        <v>78.5</v>
      </c>
      <c r="F195" s="7">
        <v>78.5</v>
      </c>
      <c r="G195" s="7">
        <v>79.3</v>
      </c>
      <c r="H195" s="7">
        <v>86.85</v>
      </c>
      <c r="I195" s="43">
        <v>86.45</v>
      </c>
      <c r="J195" s="14">
        <f t="shared" ref="J195:J258" si="3">AVERAGE(E195:I195)</f>
        <v>81.919999999999987</v>
      </c>
      <c r="K195" s="8">
        <v>132</v>
      </c>
      <c r="L195" s="8">
        <v>50</v>
      </c>
      <c r="M195" s="8">
        <v>75</v>
      </c>
      <c r="N195" s="14">
        <f>IF(ROUNDUP(IF(K195 &gt; 132, K195 / 40, K195 / 36), 0) &gt;= 7, 6, ROUNDUP(IF(K195 &gt; 132, K195 / 40, K195 / 36), 0))</f>
        <v>4</v>
      </c>
      <c r="O195" s="28">
        <f>L195*K195</f>
        <v>6600</v>
      </c>
      <c r="P195" s="28">
        <f>K195*M195</f>
        <v>9900</v>
      </c>
      <c r="Q195" s="7">
        <v>1</v>
      </c>
      <c r="R195" s="7">
        <v>3</v>
      </c>
      <c r="S195" s="7">
        <v>4</v>
      </c>
      <c r="T195" s="7">
        <v>2</v>
      </c>
      <c r="U195" s="39" t="s">
        <v>169</v>
      </c>
      <c r="V195" s="15">
        <v>1</v>
      </c>
    </row>
    <row r="196" spans="1:22">
      <c r="A196" s="40" t="s">
        <v>143</v>
      </c>
      <c r="B196" s="41" t="s">
        <v>146</v>
      </c>
      <c r="C196" s="30" t="s">
        <v>75</v>
      </c>
      <c r="D196" s="30" t="s">
        <v>59</v>
      </c>
      <c r="E196" s="7">
        <v>81.400000000000006</v>
      </c>
      <c r="F196" s="25">
        <v>74.2</v>
      </c>
      <c r="G196" s="25">
        <v>80.099999999999994</v>
      </c>
      <c r="H196" s="25">
        <v>86.1</v>
      </c>
      <c r="I196" s="25">
        <v>82.65</v>
      </c>
      <c r="J196" s="14">
        <f t="shared" si="3"/>
        <v>80.890000000000015</v>
      </c>
      <c r="K196" s="8">
        <v>132</v>
      </c>
      <c r="L196" s="8">
        <v>50</v>
      </c>
      <c r="M196" s="8">
        <v>75</v>
      </c>
      <c r="N196" s="14">
        <f>IF(ROUNDUP(IF(K196 &gt; 132, K196 / 40, K196 / 36), 0) &gt;= 7, 6, ROUNDUP(IF(K196 &gt; 132, K196 / 40, K196 / 36), 0))</f>
        <v>4</v>
      </c>
      <c r="O196" s="28">
        <f>L196*K196</f>
        <v>6600</v>
      </c>
      <c r="P196" s="28">
        <f>K196*M196</f>
        <v>9900</v>
      </c>
      <c r="Q196" s="7">
        <v>1</v>
      </c>
      <c r="R196" s="7">
        <v>3</v>
      </c>
      <c r="S196" s="7">
        <v>4</v>
      </c>
      <c r="T196" s="7">
        <v>2</v>
      </c>
      <c r="U196" s="39" t="s">
        <v>170</v>
      </c>
      <c r="V196" s="17">
        <v>1</v>
      </c>
    </row>
    <row r="197" spans="1:22">
      <c r="A197" s="40" t="s">
        <v>143</v>
      </c>
      <c r="B197" s="41" t="s">
        <v>146</v>
      </c>
      <c r="C197" s="30" t="s">
        <v>79</v>
      </c>
      <c r="D197" s="30" t="s">
        <v>59</v>
      </c>
      <c r="E197" s="11">
        <v>81.8</v>
      </c>
      <c r="F197" s="25">
        <v>76.05</v>
      </c>
      <c r="G197" s="25">
        <v>73.8</v>
      </c>
      <c r="H197" s="25">
        <v>82.65</v>
      </c>
      <c r="I197" s="25">
        <v>79.599999999999994</v>
      </c>
      <c r="J197" s="14">
        <f t="shared" si="3"/>
        <v>78.78</v>
      </c>
      <c r="K197" s="8">
        <v>132</v>
      </c>
      <c r="L197" s="8">
        <v>40</v>
      </c>
      <c r="M197" s="8">
        <v>55</v>
      </c>
      <c r="N197" s="14">
        <f>IF(ROUNDUP(IF(K197 &gt; 132, K197 / 40, K197 / 36), 0) &gt;= 7, 6, ROUNDUP(IF(K197 &gt; 132, K197 / 40, K197 / 36), 0))</f>
        <v>4</v>
      </c>
      <c r="O197" s="28">
        <f>L197*K197</f>
        <v>5280</v>
      </c>
      <c r="P197" s="28">
        <f>K197*M197</f>
        <v>7260</v>
      </c>
      <c r="Q197" s="7">
        <v>1</v>
      </c>
      <c r="R197" s="7">
        <v>2</v>
      </c>
      <c r="S197" s="7">
        <v>2</v>
      </c>
      <c r="T197" s="7">
        <v>1</v>
      </c>
      <c r="U197" s="39" t="s">
        <v>171</v>
      </c>
      <c r="V197" s="17">
        <v>1</v>
      </c>
    </row>
    <row r="198" spans="1:22">
      <c r="A198" s="40" t="s">
        <v>143</v>
      </c>
      <c r="B198" s="41" t="s">
        <v>146</v>
      </c>
      <c r="C198" s="30" t="s">
        <v>87</v>
      </c>
      <c r="D198" s="1" t="s">
        <v>88</v>
      </c>
      <c r="E198" s="11">
        <v>88.3</v>
      </c>
      <c r="F198" s="25">
        <v>82.1</v>
      </c>
      <c r="G198" s="25">
        <v>80.400000000000006</v>
      </c>
      <c r="H198" s="25">
        <v>85.95</v>
      </c>
      <c r="I198" s="25">
        <v>82.25</v>
      </c>
      <c r="J198" s="14">
        <f t="shared" si="3"/>
        <v>83.8</v>
      </c>
      <c r="K198" s="8">
        <v>132</v>
      </c>
      <c r="L198" s="8">
        <v>30</v>
      </c>
      <c r="M198" s="8">
        <v>45</v>
      </c>
      <c r="N198" s="14">
        <f>IF(ROUNDUP(IF(K198 &gt; 132, K198 / 40, K198 / 36), 0) &gt;= 7, 6, ROUNDUP(IF(K198 &gt; 132, K198 / 40, K198 / 36), 0))</f>
        <v>4</v>
      </c>
      <c r="O198" s="28">
        <f>L198*K198</f>
        <v>3960</v>
      </c>
      <c r="P198" s="28">
        <f>K198*M198</f>
        <v>5940</v>
      </c>
      <c r="Q198" s="7">
        <v>0</v>
      </c>
      <c r="R198" s="7">
        <v>0</v>
      </c>
      <c r="S198" s="7">
        <v>1</v>
      </c>
      <c r="T198" s="7">
        <v>0</v>
      </c>
      <c r="U198" s="39" t="s">
        <v>172</v>
      </c>
      <c r="V198" s="17">
        <v>1</v>
      </c>
    </row>
    <row r="199" spans="1:22">
      <c r="A199" s="38" t="s">
        <v>143</v>
      </c>
      <c r="B199" s="41" t="s">
        <v>146</v>
      </c>
      <c r="C199" s="30" t="s">
        <v>90</v>
      </c>
      <c r="D199" s="2" t="s">
        <v>88</v>
      </c>
      <c r="E199" s="11">
        <v>93.2</v>
      </c>
      <c r="F199" s="11">
        <v>82.65</v>
      </c>
      <c r="G199" s="11">
        <v>84.85</v>
      </c>
      <c r="H199" s="11">
        <v>91.85</v>
      </c>
      <c r="I199" s="11">
        <v>86.5</v>
      </c>
      <c r="J199" s="14">
        <f t="shared" si="3"/>
        <v>87.810000000000016</v>
      </c>
      <c r="K199" s="8">
        <v>132</v>
      </c>
      <c r="L199" s="8">
        <v>35</v>
      </c>
      <c r="M199" s="8">
        <v>45</v>
      </c>
      <c r="N199" s="14">
        <f>IF(ROUNDUP(IF(K199 &gt; 132, K199 / 40, K199 / 36), 0) &gt;= 7, 6, ROUNDUP(IF(K199 &gt; 132, K199 / 40, K199 / 36), 0))</f>
        <v>4</v>
      </c>
      <c r="O199" s="28">
        <f>L199*K199</f>
        <v>4620</v>
      </c>
      <c r="P199" s="28">
        <f>K199*M199</f>
        <v>5940</v>
      </c>
      <c r="Q199" s="7">
        <v>0</v>
      </c>
      <c r="R199" s="7">
        <v>0</v>
      </c>
      <c r="S199" s="7">
        <v>2</v>
      </c>
      <c r="T199" s="7">
        <v>1</v>
      </c>
      <c r="U199" s="39" t="s">
        <v>173</v>
      </c>
      <c r="V199" s="17">
        <v>1</v>
      </c>
    </row>
    <row r="200" spans="1:22">
      <c r="A200" s="40" t="s">
        <v>143</v>
      </c>
      <c r="B200" s="41" t="s">
        <v>146</v>
      </c>
      <c r="C200" s="30" t="s">
        <v>92</v>
      </c>
      <c r="D200" s="2" t="s">
        <v>88</v>
      </c>
      <c r="E200" s="11">
        <v>89.2</v>
      </c>
      <c r="F200" s="11">
        <v>78.55</v>
      </c>
      <c r="G200" s="11">
        <v>73.25</v>
      </c>
      <c r="H200" s="11">
        <v>85.55</v>
      </c>
      <c r="I200" s="11">
        <v>76.75</v>
      </c>
      <c r="J200" s="14">
        <f t="shared" si="3"/>
        <v>80.66</v>
      </c>
      <c r="K200" s="8">
        <v>132</v>
      </c>
      <c r="L200" s="8">
        <v>35</v>
      </c>
      <c r="M200" s="8">
        <v>45</v>
      </c>
      <c r="N200" s="14">
        <f>IF(ROUNDUP(IF(K200 &gt; 132, K200 / 40, K200 / 36), 0) &gt;= 7, 6, ROUNDUP(IF(K200 &gt; 132, K200 / 40, K200 / 36), 0))</f>
        <v>4</v>
      </c>
      <c r="O200" s="28">
        <f>L200*K200</f>
        <v>4620</v>
      </c>
      <c r="P200" s="28">
        <f>K200*M200</f>
        <v>5940</v>
      </c>
      <c r="Q200" s="7">
        <v>0</v>
      </c>
      <c r="R200" s="7">
        <v>0</v>
      </c>
      <c r="S200" s="7">
        <v>2</v>
      </c>
      <c r="T200" s="7">
        <v>0</v>
      </c>
      <c r="U200" s="39" t="s">
        <v>174</v>
      </c>
      <c r="V200" s="17">
        <v>1</v>
      </c>
    </row>
    <row r="201" spans="1:22">
      <c r="A201" s="40" t="s">
        <v>143</v>
      </c>
      <c r="B201" s="41" t="s">
        <v>146</v>
      </c>
      <c r="C201" s="30" t="s">
        <v>94</v>
      </c>
      <c r="D201" s="2" t="s">
        <v>88</v>
      </c>
      <c r="E201" s="9">
        <v>86.65</v>
      </c>
      <c r="F201" s="9">
        <v>86.5</v>
      </c>
      <c r="G201" s="9">
        <v>86.7</v>
      </c>
      <c r="H201" s="9">
        <v>86.5</v>
      </c>
      <c r="I201" s="43">
        <v>86.7</v>
      </c>
      <c r="J201" s="14">
        <f t="shared" si="3"/>
        <v>86.61</v>
      </c>
      <c r="K201" s="8">
        <v>132</v>
      </c>
      <c r="L201" s="8">
        <v>20</v>
      </c>
      <c r="M201" s="8">
        <v>40</v>
      </c>
      <c r="N201" s="14">
        <f>IF(ROUNDUP(IF(K201 &gt; 132, K201 / 40, K201 / 36), 0) &gt;= 7, 6, ROUNDUP(IF(K201 &gt; 132, K201 / 40, K201 / 36), 0))</f>
        <v>4</v>
      </c>
      <c r="O201" s="28">
        <f>L201*K201</f>
        <v>2640</v>
      </c>
      <c r="P201" s="28">
        <f>K201*M201</f>
        <v>5280</v>
      </c>
      <c r="Q201" s="7">
        <v>0</v>
      </c>
      <c r="R201" s="7">
        <v>2</v>
      </c>
      <c r="S201" s="7">
        <v>2</v>
      </c>
      <c r="T201" s="7">
        <v>0</v>
      </c>
      <c r="U201" s="39" t="s">
        <v>175</v>
      </c>
      <c r="V201" s="17">
        <v>1</v>
      </c>
    </row>
    <row r="202" spans="1:22">
      <c r="A202" s="40" t="s">
        <v>143</v>
      </c>
      <c r="B202" s="41" t="s">
        <v>146</v>
      </c>
      <c r="C202" s="1" t="s">
        <v>100</v>
      </c>
      <c r="D202" s="2" t="s">
        <v>88</v>
      </c>
      <c r="E202" s="9">
        <v>71</v>
      </c>
      <c r="F202" s="9">
        <v>81.599999999999994</v>
      </c>
      <c r="G202" s="9">
        <v>75.349999999999994</v>
      </c>
      <c r="H202" s="9">
        <v>81.5</v>
      </c>
      <c r="I202" s="43">
        <v>83.5</v>
      </c>
      <c r="J202" s="14">
        <f t="shared" si="3"/>
        <v>78.59</v>
      </c>
      <c r="K202" s="8">
        <v>132</v>
      </c>
      <c r="L202" s="8">
        <v>35</v>
      </c>
      <c r="M202" s="8">
        <v>45</v>
      </c>
      <c r="N202" s="14">
        <f>IF(ROUNDUP(IF(K202 &gt; 132, K202 / 40, K202 / 36), 0) &gt;= 7, 6, ROUNDUP(IF(K202 &gt; 132, K202 / 40, K202 / 36), 0))</f>
        <v>4</v>
      </c>
      <c r="O202" s="28">
        <f>L202*K202</f>
        <v>4620</v>
      </c>
      <c r="P202" s="28">
        <f>K202*M202</f>
        <v>5940</v>
      </c>
      <c r="Q202" s="7">
        <v>1</v>
      </c>
      <c r="R202" s="7">
        <v>2</v>
      </c>
      <c r="S202" s="7">
        <v>2</v>
      </c>
      <c r="T202" s="7">
        <v>2</v>
      </c>
      <c r="U202" s="39" t="s">
        <v>176</v>
      </c>
      <c r="V202" s="15">
        <v>1</v>
      </c>
    </row>
    <row r="203" spans="1:22">
      <c r="A203" s="40" t="s">
        <v>143</v>
      </c>
      <c r="B203" s="41" t="s">
        <v>146</v>
      </c>
      <c r="C203" s="1" t="s">
        <v>102</v>
      </c>
      <c r="D203" s="1" t="s">
        <v>88</v>
      </c>
      <c r="E203" s="43">
        <v>75.8</v>
      </c>
      <c r="F203" s="43">
        <v>86</v>
      </c>
      <c r="G203" s="43">
        <v>81.7</v>
      </c>
      <c r="H203" s="43">
        <v>83.7</v>
      </c>
      <c r="I203" s="43">
        <v>83.9</v>
      </c>
      <c r="J203" s="14">
        <f t="shared" si="3"/>
        <v>82.22</v>
      </c>
      <c r="K203" s="8">
        <v>132</v>
      </c>
      <c r="L203" s="8">
        <v>35</v>
      </c>
      <c r="M203" s="8">
        <v>50</v>
      </c>
      <c r="N203" s="14">
        <f>IF(ROUNDUP(IF(K203 &gt; 132, K203 / 40, K203 / 36), 0) &gt;= 7, 6, ROUNDUP(IF(K203 &gt; 132, K203 / 40, K203 / 36), 0))</f>
        <v>4</v>
      </c>
      <c r="O203" s="28">
        <f>L203*K203</f>
        <v>4620</v>
      </c>
      <c r="P203" s="28">
        <f>K203*M203</f>
        <v>6600</v>
      </c>
      <c r="Q203" s="7">
        <v>1</v>
      </c>
      <c r="R203" s="7">
        <v>3</v>
      </c>
      <c r="S203" s="7">
        <v>1</v>
      </c>
      <c r="T203" s="7">
        <v>1</v>
      </c>
      <c r="U203" s="39" t="s">
        <v>177</v>
      </c>
      <c r="V203" s="17">
        <v>1</v>
      </c>
    </row>
    <row r="204" spans="1:22">
      <c r="A204" s="40" t="s">
        <v>143</v>
      </c>
      <c r="B204" s="41" t="s">
        <v>146</v>
      </c>
      <c r="C204" s="1" t="s">
        <v>178</v>
      </c>
      <c r="D204" s="2" t="s">
        <v>88</v>
      </c>
      <c r="E204" s="9">
        <v>78.099999999999994</v>
      </c>
      <c r="F204" s="9">
        <v>81.75</v>
      </c>
      <c r="G204" s="9">
        <v>81.75</v>
      </c>
      <c r="H204" s="9">
        <v>89.4</v>
      </c>
      <c r="I204" s="43">
        <v>89.4</v>
      </c>
      <c r="J204" s="14">
        <f t="shared" si="3"/>
        <v>84.08</v>
      </c>
      <c r="K204" s="8">
        <v>132</v>
      </c>
      <c r="L204" s="8">
        <v>35</v>
      </c>
      <c r="M204" s="8">
        <v>55</v>
      </c>
      <c r="N204" s="14">
        <f>IF(ROUNDUP(IF(K204 &gt; 132, K204 / 40, K204 / 36), 0) &gt;= 7, 6, ROUNDUP(IF(K204 &gt; 132, K204 / 40, K204 / 36), 0))</f>
        <v>4</v>
      </c>
      <c r="O204" s="28">
        <f>L204*K204</f>
        <v>4620</v>
      </c>
      <c r="P204" s="28">
        <f>K204*M204</f>
        <v>7260</v>
      </c>
      <c r="Q204" s="7">
        <v>1</v>
      </c>
      <c r="R204" s="7">
        <v>3</v>
      </c>
      <c r="S204" s="7">
        <v>3</v>
      </c>
      <c r="T204" s="7">
        <v>2</v>
      </c>
      <c r="U204" s="39" t="s">
        <v>179</v>
      </c>
      <c r="V204" s="17">
        <v>1</v>
      </c>
    </row>
    <row r="205" spans="1:22">
      <c r="A205" s="40" t="s">
        <v>143</v>
      </c>
      <c r="B205" s="41" t="s">
        <v>146</v>
      </c>
      <c r="C205" s="1" t="s">
        <v>180</v>
      </c>
      <c r="D205" s="2" t="s">
        <v>88</v>
      </c>
      <c r="E205" s="9">
        <v>83.4</v>
      </c>
      <c r="F205" s="9">
        <v>77.05</v>
      </c>
      <c r="G205" s="9">
        <v>75.900000000000006</v>
      </c>
      <c r="H205" s="9">
        <v>83.55</v>
      </c>
      <c r="I205" s="43">
        <v>82.5</v>
      </c>
      <c r="J205" s="14">
        <f t="shared" si="3"/>
        <v>80.47999999999999</v>
      </c>
      <c r="K205" s="8">
        <v>132</v>
      </c>
      <c r="L205" s="8">
        <v>35</v>
      </c>
      <c r="M205" s="8">
        <v>45</v>
      </c>
      <c r="N205" s="14">
        <f>IF(ROUNDUP(IF(K205 &gt; 132, K205 / 40, K205 / 36), 0) &gt;= 7, 6, ROUNDUP(IF(K205 &gt; 132, K205 / 40, K205 / 36), 0))</f>
        <v>4</v>
      </c>
      <c r="O205" s="28">
        <f>L205*K205</f>
        <v>4620</v>
      </c>
      <c r="P205" s="28">
        <f>K205*M205</f>
        <v>5940</v>
      </c>
      <c r="Q205" s="7">
        <v>1</v>
      </c>
      <c r="R205" s="7">
        <v>2</v>
      </c>
      <c r="S205" s="7">
        <v>1</v>
      </c>
      <c r="T205" s="7">
        <v>2</v>
      </c>
      <c r="U205" s="39" t="s">
        <v>181</v>
      </c>
      <c r="V205" s="17">
        <v>1</v>
      </c>
    </row>
    <row r="206" spans="1:22">
      <c r="A206" s="40" t="s">
        <v>143</v>
      </c>
      <c r="B206" s="41" t="s">
        <v>146</v>
      </c>
      <c r="C206" s="47" t="s">
        <v>182</v>
      </c>
      <c r="D206" s="2" t="s">
        <v>88</v>
      </c>
      <c r="E206" s="9">
        <v>84.3</v>
      </c>
      <c r="F206" s="9">
        <v>71.099999999999994</v>
      </c>
      <c r="G206" s="9">
        <v>84.3</v>
      </c>
      <c r="H206" s="9">
        <v>81.55</v>
      </c>
      <c r="I206" s="7">
        <v>78.8</v>
      </c>
      <c r="J206" s="14">
        <f t="shared" si="3"/>
        <v>80.010000000000005</v>
      </c>
      <c r="K206" s="8">
        <v>132</v>
      </c>
      <c r="L206" s="8">
        <v>35</v>
      </c>
      <c r="M206" s="8">
        <v>45</v>
      </c>
      <c r="N206" s="14">
        <f>IF(ROUNDUP(IF(K206 &gt; 132, K206 / 40, K206 / 36), 0) &gt;= 7, 6, ROUNDUP(IF(K206 &gt; 132, K206 / 40, K206 / 36), 0))</f>
        <v>4</v>
      </c>
      <c r="O206" s="28">
        <f>L206*K206</f>
        <v>4620</v>
      </c>
      <c r="P206" s="28">
        <f>K206*M206</f>
        <v>5940</v>
      </c>
      <c r="Q206" s="7">
        <v>0</v>
      </c>
      <c r="R206" s="7">
        <v>0</v>
      </c>
      <c r="S206" s="7">
        <v>2</v>
      </c>
      <c r="T206" s="7">
        <v>1</v>
      </c>
      <c r="U206" s="39" t="s">
        <v>183</v>
      </c>
      <c r="V206" s="17">
        <v>1</v>
      </c>
    </row>
    <row r="207" spans="1:22">
      <c r="A207" s="40" t="s">
        <v>143</v>
      </c>
      <c r="B207" s="41" t="s">
        <v>146</v>
      </c>
      <c r="C207" s="47" t="s">
        <v>184</v>
      </c>
      <c r="D207" s="2" t="s">
        <v>88</v>
      </c>
      <c r="E207" s="9">
        <v>88</v>
      </c>
      <c r="F207" s="9">
        <v>81.650000000000006</v>
      </c>
      <c r="G207" s="9">
        <v>76.5</v>
      </c>
      <c r="H207" s="9">
        <v>88.35</v>
      </c>
      <c r="I207" s="7">
        <v>79</v>
      </c>
      <c r="J207" s="14">
        <f t="shared" si="3"/>
        <v>82.7</v>
      </c>
      <c r="K207" s="8">
        <v>132</v>
      </c>
      <c r="L207" s="8">
        <v>35</v>
      </c>
      <c r="M207" s="8">
        <v>45</v>
      </c>
      <c r="N207" s="14">
        <f>IF(ROUNDUP(IF(K207 &gt; 132, K207 / 40, K207 / 36), 0) &gt;= 7, 6, ROUNDUP(IF(K207 &gt; 132, K207 / 40, K207 / 36), 0))</f>
        <v>4</v>
      </c>
      <c r="O207" s="28">
        <f>L207*K207</f>
        <v>4620</v>
      </c>
      <c r="P207" s="28">
        <f>K207*M207</f>
        <v>5940</v>
      </c>
      <c r="Q207" s="7">
        <v>0</v>
      </c>
      <c r="R207" s="7">
        <v>0</v>
      </c>
      <c r="S207" s="7">
        <v>2</v>
      </c>
      <c r="T207" s="7">
        <v>1</v>
      </c>
      <c r="U207" s="39" t="s">
        <v>185</v>
      </c>
      <c r="V207" s="17">
        <v>1</v>
      </c>
    </row>
    <row r="208" spans="1:22">
      <c r="A208" s="40" t="s">
        <v>143</v>
      </c>
      <c r="B208" s="41" t="s">
        <v>146</v>
      </c>
      <c r="C208" s="48" t="s">
        <v>186</v>
      </c>
      <c r="D208" s="49" t="s">
        <v>88</v>
      </c>
      <c r="E208" s="9">
        <v>83.4</v>
      </c>
      <c r="F208" s="9">
        <v>77.05</v>
      </c>
      <c r="G208" s="9">
        <v>75.900000000000006</v>
      </c>
      <c r="H208" s="9">
        <v>83.55</v>
      </c>
      <c r="I208" s="43">
        <v>82.5</v>
      </c>
      <c r="J208" s="14">
        <f t="shared" si="3"/>
        <v>80.47999999999999</v>
      </c>
      <c r="K208" s="8">
        <v>132</v>
      </c>
      <c r="L208" s="8">
        <v>35</v>
      </c>
      <c r="M208" s="8">
        <v>45</v>
      </c>
      <c r="N208" s="14">
        <f>IF(ROUNDUP(IF(K208 &gt; 132, K208 / 40, K208 / 36), 0) &gt;= 7, 6, ROUNDUP(IF(K208 &gt; 132, K208 / 40, K208 / 36), 0))</f>
        <v>4</v>
      </c>
      <c r="O208" s="28">
        <f>L208*K208</f>
        <v>4620</v>
      </c>
      <c r="P208" s="28">
        <f>K208*M208</f>
        <v>5940</v>
      </c>
      <c r="Q208" s="7">
        <v>1</v>
      </c>
      <c r="R208" s="7">
        <v>2</v>
      </c>
      <c r="S208" s="7">
        <v>1</v>
      </c>
      <c r="T208" s="7">
        <v>2</v>
      </c>
      <c r="U208" s="39" t="s">
        <v>187</v>
      </c>
      <c r="V208" s="17">
        <v>1</v>
      </c>
    </row>
    <row r="209" spans="1:22">
      <c r="A209" s="40" t="s">
        <v>143</v>
      </c>
      <c r="B209" s="41" t="s">
        <v>146</v>
      </c>
      <c r="C209" s="46" t="s">
        <v>188</v>
      </c>
      <c r="D209" s="2" t="s">
        <v>88</v>
      </c>
      <c r="E209" s="9">
        <v>85</v>
      </c>
      <c r="F209" s="9">
        <v>78.849999999999994</v>
      </c>
      <c r="G209" s="9">
        <v>74.25</v>
      </c>
      <c r="H209" s="9">
        <v>82.85</v>
      </c>
      <c r="I209" s="43">
        <v>82.9</v>
      </c>
      <c r="J209" s="14">
        <f t="shared" si="3"/>
        <v>80.77000000000001</v>
      </c>
      <c r="K209" s="8">
        <v>132</v>
      </c>
      <c r="L209" s="8">
        <v>30</v>
      </c>
      <c r="M209" s="8">
        <v>45</v>
      </c>
      <c r="N209" s="14">
        <f>IF(ROUNDUP(IF(K209 &gt; 132, K209 / 40, K209 / 36), 0) &gt;= 7, 6, ROUNDUP(IF(K209 &gt; 132, K209 / 40, K209 / 36), 0))</f>
        <v>4</v>
      </c>
      <c r="O209" s="28">
        <f>L209*K209</f>
        <v>3960</v>
      </c>
      <c r="P209" s="28">
        <f>K209*M209</f>
        <v>5940</v>
      </c>
      <c r="Q209" s="7">
        <v>0</v>
      </c>
      <c r="R209" s="7">
        <v>0</v>
      </c>
      <c r="S209" s="7">
        <v>1</v>
      </c>
      <c r="T209" s="7">
        <v>0</v>
      </c>
      <c r="U209" s="39" t="s">
        <v>189</v>
      </c>
      <c r="V209" s="15">
        <v>1</v>
      </c>
    </row>
    <row r="210" spans="1:22">
      <c r="A210" s="40" t="s">
        <v>143</v>
      </c>
      <c r="B210" s="41" t="s">
        <v>146</v>
      </c>
      <c r="C210" s="46" t="s">
        <v>190</v>
      </c>
      <c r="D210" s="1" t="s">
        <v>88</v>
      </c>
      <c r="E210" s="43">
        <v>80</v>
      </c>
      <c r="F210" s="43">
        <v>83.15</v>
      </c>
      <c r="G210" s="43">
        <v>83.15</v>
      </c>
      <c r="H210" s="43">
        <v>83</v>
      </c>
      <c r="I210" s="43">
        <v>80</v>
      </c>
      <c r="J210" s="14">
        <f t="shared" si="3"/>
        <v>81.86</v>
      </c>
      <c r="K210" s="8">
        <v>132</v>
      </c>
      <c r="L210" s="8">
        <v>40</v>
      </c>
      <c r="M210" s="8">
        <v>50</v>
      </c>
      <c r="N210" s="14">
        <f>IF(ROUNDUP(IF(K210 &gt; 132, K210 / 40, K210 / 36), 0) &gt;= 7, 6, ROUNDUP(IF(K210 &gt; 132, K210 / 40, K210 / 36), 0))</f>
        <v>4</v>
      </c>
      <c r="O210" s="28">
        <f>L210*K210</f>
        <v>5280</v>
      </c>
      <c r="P210" s="28">
        <f>K210*M210</f>
        <v>6600</v>
      </c>
      <c r="Q210" s="7">
        <v>0</v>
      </c>
      <c r="R210" s="7">
        <v>2</v>
      </c>
      <c r="S210" s="7">
        <v>2</v>
      </c>
      <c r="T210" s="7">
        <v>0</v>
      </c>
      <c r="U210" s="39" t="s">
        <v>191</v>
      </c>
      <c r="V210" s="17">
        <v>1</v>
      </c>
    </row>
    <row r="211" spans="1:22">
      <c r="A211" s="40" t="s">
        <v>143</v>
      </c>
      <c r="B211" s="41" t="s">
        <v>146</v>
      </c>
      <c r="C211" s="1" t="s">
        <v>112</v>
      </c>
      <c r="D211" s="30" t="s">
        <v>113</v>
      </c>
      <c r="E211" s="7">
        <v>88.57</v>
      </c>
      <c r="F211" s="7">
        <v>87.15</v>
      </c>
      <c r="G211" s="7">
        <v>90</v>
      </c>
      <c r="H211" s="7">
        <v>87.15</v>
      </c>
      <c r="I211" s="43">
        <v>90.46</v>
      </c>
      <c r="J211" s="14">
        <f t="shared" si="3"/>
        <v>88.665999999999997</v>
      </c>
      <c r="K211" s="8">
        <v>132</v>
      </c>
      <c r="L211" s="8">
        <v>30</v>
      </c>
      <c r="M211" s="8">
        <v>35</v>
      </c>
      <c r="N211" s="14">
        <f>IF(ROUNDUP(IF(K211 &gt; 132, K211 / 40, K211 / 36), 0) &gt;= 7, 6, ROUNDUP(IF(K211 &gt; 132, K211 / 40, K211 / 36), 0))</f>
        <v>4</v>
      </c>
      <c r="O211" s="28">
        <f>L211*K211</f>
        <v>3960</v>
      </c>
      <c r="P211" s="28">
        <f>K211*M211</f>
        <v>4620</v>
      </c>
      <c r="Q211" s="7">
        <v>0</v>
      </c>
      <c r="R211" s="7">
        <v>1</v>
      </c>
      <c r="S211" s="7">
        <v>3</v>
      </c>
      <c r="T211" s="7">
        <v>1</v>
      </c>
      <c r="U211" s="39" t="s">
        <v>192</v>
      </c>
      <c r="V211" s="17">
        <v>1</v>
      </c>
    </row>
    <row r="212" spans="1:22">
      <c r="A212" s="38" t="s">
        <v>143</v>
      </c>
      <c r="B212" s="41" t="s">
        <v>146</v>
      </c>
      <c r="C212" s="1" t="s">
        <v>115</v>
      </c>
      <c r="D212" s="2" t="s">
        <v>113</v>
      </c>
      <c r="E212" s="9">
        <v>80.5</v>
      </c>
      <c r="F212" s="9">
        <v>75.400000000000006</v>
      </c>
      <c r="G212" s="9">
        <v>75.150000000000006</v>
      </c>
      <c r="H212" s="9">
        <v>80.25</v>
      </c>
      <c r="I212" s="43">
        <v>78.400000000000006</v>
      </c>
      <c r="J212" s="14">
        <f t="shared" si="3"/>
        <v>77.940000000000012</v>
      </c>
      <c r="K212" s="8">
        <v>132</v>
      </c>
      <c r="L212" s="8">
        <v>30</v>
      </c>
      <c r="M212" s="8">
        <v>35</v>
      </c>
      <c r="N212" s="14">
        <f>IF(ROUNDUP(IF(K212 &gt; 132, K212 / 40, K212 / 36), 0) &gt;= 7, 6, ROUNDUP(IF(K212 &gt; 132, K212 / 40, K212 / 36), 0))</f>
        <v>4</v>
      </c>
      <c r="O212" s="28">
        <f>L212*K212</f>
        <v>3960</v>
      </c>
      <c r="P212" s="28">
        <f>K212*M212</f>
        <v>4620</v>
      </c>
      <c r="Q212" s="7">
        <v>0</v>
      </c>
      <c r="R212" s="7">
        <v>0</v>
      </c>
      <c r="S212" s="7">
        <v>1</v>
      </c>
      <c r="T212" s="7">
        <v>0</v>
      </c>
      <c r="U212" s="39" t="s">
        <v>193</v>
      </c>
      <c r="V212" s="17">
        <v>1</v>
      </c>
    </row>
    <row r="213" spans="1:22">
      <c r="A213" s="40" t="s">
        <v>143</v>
      </c>
      <c r="B213" s="41" t="s">
        <v>146</v>
      </c>
      <c r="C213" s="46" t="s">
        <v>194</v>
      </c>
      <c r="D213" s="2" t="s">
        <v>113</v>
      </c>
      <c r="E213" s="9">
        <v>75</v>
      </c>
      <c r="F213" s="9">
        <v>78.400000000000006</v>
      </c>
      <c r="G213" s="9">
        <v>75</v>
      </c>
      <c r="H213" s="9">
        <v>78</v>
      </c>
      <c r="I213" s="43">
        <v>78.400000000000006</v>
      </c>
      <c r="J213" s="14">
        <f t="shared" si="3"/>
        <v>76.959999999999994</v>
      </c>
      <c r="K213" s="8">
        <v>132</v>
      </c>
      <c r="L213" s="8">
        <v>30</v>
      </c>
      <c r="M213" s="8">
        <v>35</v>
      </c>
      <c r="N213" s="14">
        <f>IF(ROUNDUP(IF(K213 &gt; 132, K213 / 40, K213 / 36), 0) &gt;= 7, 6, ROUNDUP(IF(K213 &gt; 132, K213 / 40, K213 / 36), 0))</f>
        <v>4</v>
      </c>
      <c r="O213" s="28">
        <f>L213*K213</f>
        <v>3960</v>
      </c>
      <c r="P213" s="28">
        <f>K213*M213</f>
        <v>4620</v>
      </c>
      <c r="Q213" s="7">
        <v>0</v>
      </c>
      <c r="R213" s="7">
        <v>0</v>
      </c>
      <c r="S213" s="7">
        <v>1</v>
      </c>
      <c r="T213" s="7">
        <v>0</v>
      </c>
      <c r="U213" s="39" t="s">
        <v>195</v>
      </c>
      <c r="V213" s="17">
        <v>1</v>
      </c>
    </row>
    <row r="214" spans="1:22">
      <c r="A214" s="40" t="s">
        <v>143</v>
      </c>
      <c r="B214" s="41" t="s">
        <v>146</v>
      </c>
      <c r="C214" s="1" t="s">
        <v>117</v>
      </c>
      <c r="D214" s="2" t="s">
        <v>113</v>
      </c>
      <c r="E214" s="9">
        <v>81.400000000000006</v>
      </c>
      <c r="F214" s="9">
        <v>75.95</v>
      </c>
      <c r="G214" s="9">
        <v>75.55</v>
      </c>
      <c r="H214" s="9">
        <v>82.15</v>
      </c>
      <c r="I214" s="43">
        <v>78.400000000000006</v>
      </c>
      <c r="J214" s="14">
        <f t="shared" si="3"/>
        <v>78.690000000000012</v>
      </c>
      <c r="K214" s="8">
        <v>132</v>
      </c>
      <c r="L214" s="8">
        <v>30</v>
      </c>
      <c r="M214" s="8">
        <v>35</v>
      </c>
      <c r="N214" s="14">
        <f>IF(ROUNDUP(IF(K214 &gt; 132, K214 / 40, K214 / 36), 0) &gt;= 7, 6, ROUNDUP(IF(K214 &gt; 132, K214 / 40, K214 / 36), 0))</f>
        <v>4</v>
      </c>
      <c r="O214" s="28">
        <f>L214*K214</f>
        <v>3960</v>
      </c>
      <c r="P214" s="28">
        <f>K214*M214</f>
        <v>4620</v>
      </c>
      <c r="Q214" s="7">
        <v>0</v>
      </c>
      <c r="R214" s="7">
        <v>0</v>
      </c>
      <c r="S214" s="7">
        <v>1</v>
      </c>
      <c r="T214" s="36">
        <v>0</v>
      </c>
      <c r="U214" s="39" t="s">
        <v>196</v>
      </c>
      <c r="V214" s="17">
        <v>1</v>
      </c>
    </row>
    <row r="215" spans="1:22">
      <c r="A215" s="40" t="s">
        <v>143</v>
      </c>
      <c r="B215" s="41" t="s">
        <v>146</v>
      </c>
      <c r="C215" s="1" t="s">
        <v>119</v>
      </c>
      <c r="D215" s="30" t="s">
        <v>120</v>
      </c>
      <c r="E215" s="7">
        <v>85.8</v>
      </c>
      <c r="F215" s="7">
        <v>77.099999999999994</v>
      </c>
      <c r="G215" s="7">
        <v>76.150000000000006</v>
      </c>
      <c r="H215" s="7">
        <v>86.35</v>
      </c>
      <c r="I215" s="43">
        <v>85.96</v>
      </c>
      <c r="J215" s="14">
        <f t="shared" si="3"/>
        <v>82.271999999999991</v>
      </c>
      <c r="K215" s="8">
        <v>132</v>
      </c>
      <c r="L215" s="8">
        <v>35</v>
      </c>
      <c r="M215" s="8">
        <v>45</v>
      </c>
      <c r="N215" s="14">
        <f>IF(ROUNDUP(IF(K215 &gt; 132, K215 / 40, K215 / 36), 0) &gt;= 7, 6, ROUNDUP(IF(K215 &gt; 132, K215 / 40, K215 / 36), 0))</f>
        <v>4</v>
      </c>
      <c r="O215" s="28">
        <f>L215*K215</f>
        <v>4620</v>
      </c>
      <c r="P215" s="28">
        <f>K215*M215</f>
        <v>5940</v>
      </c>
      <c r="Q215" s="7">
        <v>1</v>
      </c>
      <c r="R215" s="7">
        <v>2</v>
      </c>
      <c r="S215" s="7">
        <v>1</v>
      </c>
      <c r="T215" s="36">
        <v>1</v>
      </c>
      <c r="U215" s="39" t="s">
        <v>197</v>
      </c>
      <c r="V215" s="17">
        <v>1</v>
      </c>
    </row>
    <row r="216" spans="1:22">
      <c r="A216" s="40" t="s">
        <v>143</v>
      </c>
      <c r="B216" s="41" t="s">
        <v>146</v>
      </c>
      <c r="C216" s="1" t="s">
        <v>122</v>
      </c>
      <c r="D216" s="2" t="s">
        <v>120</v>
      </c>
      <c r="E216" s="9">
        <v>88.9</v>
      </c>
      <c r="F216" s="9">
        <v>79.150000000000006</v>
      </c>
      <c r="G216" s="9">
        <v>79.3</v>
      </c>
      <c r="H216" s="9">
        <v>89</v>
      </c>
      <c r="I216" s="43">
        <v>92.3</v>
      </c>
      <c r="J216" s="14">
        <f t="shared" si="3"/>
        <v>85.73</v>
      </c>
      <c r="K216" s="8">
        <v>132</v>
      </c>
      <c r="L216" s="8">
        <v>35</v>
      </c>
      <c r="M216" s="8">
        <v>45</v>
      </c>
      <c r="N216" s="14">
        <f>IF(ROUNDUP(IF(K216 &gt; 132, K216 / 40, K216 / 36), 0) &gt;= 7, 6, ROUNDUP(IF(K216 &gt; 132, K216 / 40, K216 / 36), 0))</f>
        <v>4</v>
      </c>
      <c r="O216" s="28">
        <f>L216*K216</f>
        <v>4620</v>
      </c>
      <c r="P216" s="28">
        <f>K216*M216</f>
        <v>5940</v>
      </c>
      <c r="Q216" s="7">
        <v>1</v>
      </c>
      <c r="R216" s="7">
        <v>2</v>
      </c>
      <c r="S216" s="7">
        <v>2</v>
      </c>
      <c r="T216" s="7">
        <v>1</v>
      </c>
      <c r="U216" s="39" t="s">
        <v>198</v>
      </c>
      <c r="V216" s="17">
        <v>1</v>
      </c>
    </row>
    <row r="217" spans="1:22">
      <c r="A217" s="40" t="s">
        <v>143</v>
      </c>
      <c r="B217" s="41" t="s">
        <v>146</v>
      </c>
      <c r="C217" s="1" t="s">
        <v>124</v>
      </c>
      <c r="D217" s="2" t="s">
        <v>120</v>
      </c>
      <c r="E217" s="15">
        <v>82.7</v>
      </c>
      <c r="F217" s="9">
        <v>74.95</v>
      </c>
      <c r="G217" s="13">
        <v>71.849999999999994</v>
      </c>
      <c r="H217" s="13">
        <v>83.65</v>
      </c>
      <c r="I217" s="43">
        <v>80</v>
      </c>
      <c r="J217" s="14">
        <f t="shared" si="3"/>
        <v>78.63</v>
      </c>
      <c r="K217" s="8">
        <v>132</v>
      </c>
      <c r="L217" s="8">
        <v>35</v>
      </c>
      <c r="M217" s="8">
        <v>45</v>
      </c>
      <c r="N217" s="14">
        <f>IF(ROUNDUP(IF(K217 &gt; 132, K217 / 40, K217 / 36), 0) &gt;= 7, 6, ROUNDUP(IF(K217 &gt; 132, K217 / 40, K217 / 36), 0))</f>
        <v>4</v>
      </c>
      <c r="O217" s="28">
        <f>L217*K217</f>
        <v>4620</v>
      </c>
      <c r="P217" s="28">
        <f>K217*M217</f>
        <v>5940</v>
      </c>
      <c r="Q217" s="7">
        <v>1</v>
      </c>
      <c r="R217" s="7">
        <v>2</v>
      </c>
      <c r="S217" s="7">
        <v>2</v>
      </c>
      <c r="T217" s="7">
        <v>2</v>
      </c>
      <c r="U217" s="39" t="s">
        <v>199</v>
      </c>
      <c r="V217" s="17">
        <v>1</v>
      </c>
    </row>
    <row r="218" spans="1:22">
      <c r="A218" s="40" t="s">
        <v>143</v>
      </c>
      <c r="B218" s="30" t="s">
        <v>144</v>
      </c>
      <c r="C218" s="1" t="s">
        <v>126</v>
      </c>
      <c r="D218" s="2" t="s">
        <v>120</v>
      </c>
      <c r="E218" s="9">
        <v>85.3</v>
      </c>
      <c r="F218" s="9">
        <v>84.45</v>
      </c>
      <c r="G218" s="9">
        <v>81.650000000000006</v>
      </c>
      <c r="H218" s="9">
        <v>90.15</v>
      </c>
      <c r="I218" s="43">
        <v>87.7</v>
      </c>
      <c r="J218" s="14">
        <f t="shared" si="3"/>
        <v>85.85</v>
      </c>
      <c r="K218" s="8">
        <v>132</v>
      </c>
      <c r="L218" s="8">
        <v>45</v>
      </c>
      <c r="M218" s="8">
        <v>65</v>
      </c>
      <c r="N218" s="14">
        <f>IF(ROUNDUP(IF(K218 &gt; 132, K218 / 40, K218 / 36), 0) &gt;= 7, 6, ROUNDUP(IF(K218 &gt; 132, K218 / 40, K218 / 36), 0))</f>
        <v>4</v>
      </c>
      <c r="O218" s="28">
        <f>L218*K218</f>
        <v>5940</v>
      </c>
      <c r="P218" s="28">
        <f>K218*M218</f>
        <v>8580</v>
      </c>
      <c r="Q218" s="7">
        <v>1</v>
      </c>
      <c r="R218" s="7">
        <v>2</v>
      </c>
      <c r="S218" s="7">
        <v>2</v>
      </c>
      <c r="T218" s="7">
        <v>2</v>
      </c>
      <c r="U218" s="39" t="s">
        <v>200</v>
      </c>
      <c r="V218" s="17">
        <v>1</v>
      </c>
    </row>
    <row r="219" spans="1:22">
      <c r="A219" s="40" t="s">
        <v>143</v>
      </c>
      <c r="B219" s="41" t="s">
        <v>146</v>
      </c>
      <c r="C219" s="1" t="s">
        <v>128</v>
      </c>
      <c r="D219" s="2" t="s">
        <v>120</v>
      </c>
      <c r="E219" s="9">
        <v>81.52</v>
      </c>
      <c r="F219" s="9">
        <v>77.45</v>
      </c>
      <c r="G219" s="9">
        <v>85.6</v>
      </c>
      <c r="H219" s="9">
        <v>77.45</v>
      </c>
      <c r="I219" s="43">
        <v>85.6</v>
      </c>
      <c r="J219" s="14">
        <f t="shared" si="3"/>
        <v>81.524000000000001</v>
      </c>
      <c r="K219" s="8">
        <v>132</v>
      </c>
      <c r="L219" s="8">
        <v>35</v>
      </c>
      <c r="M219" s="8">
        <v>55</v>
      </c>
      <c r="N219" s="14">
        <f>IF(ROUNDUP(IF(K219 &gt; 132, K219 / 40, K219 / 36), 0) &gt;= 7, 6, ROUNDUP(IF(K219 &gt; 132, K219 / 40, K219 / 36), 0))</f>
        <v>4</v>
      </c>
      <c r="O219" s="28">
        <f>L219*K219</f>
        <v>4620</v>
      </c>
      <c r="P219" s="28">
        <f>K219*M219</f>
        <v>7260</v>
      </c>
      <c r="Q219" s="7">
        <v>1</v>
      </c>
      <c r="R219" s="7">
        <v>2</v>
      </c>
      <c r="S219" s="7">
        <v>2</v>
      </c>
      <c r="T219" s="7">
        <v>2</v>
      </c>
      <c r="U219" s="39" t="s">
        <v>201</v>
      </c>
      <c r="V219" s="17">
        <v>1</v>
      </c>
    </row>
    <row r="220" spans="1:22">
      <c r="A220" s="40" t="s">
        <v>143</v>
      </c>
      <c r="B220" s="41" t="s">
        <v>146</v>
      </c>
      <c r="C220" s="1" t="s">
        <v>130</v>
      </c>
      <c r="D220" s="2" t="s">
        <v>120</v>
      </c>
      <c r="E220" s="9">
        <v>89.23</v>
      </c>
      <c r="F220" s="9">
        <v>92.5</v>
      </c>
      <c r="G220" s="9">
        <v>85.96</v>
      </c>
      <c r="H220" s="9">
        <v>92.5</v>
      </c>
      <c r="I220" s="43">
        <v>85.96</v>
      </c>
      <c r="J220" s="14">
        <f t="shared" si="3"/>
        <v>89.22999999999999</v>
      </c>
      <c r="K220" s="8">
        <v>132</v>
      </c>
      <c r="L220" s="8">
        <v>35</v>
      </c>
      <c r="M220" s="8">
        <v>45</v>
      </c>
      <c r="N220" s="14">
        <f>IF(ROUNDUP(IF(K220 &gt; 132, K220 / 40, K220 / 36), 0) &gt;= 7, 6, ROUNDUP(IF(K220 &gt; 132, K220 / 40, K220 / 36), 0))</f>
        <v>4</v>
      </c>
      <c r="O220" s="28">
        <f>L220*K220</f>
        <v>4620</v>
      </c>
      <c r="P220" s="28">
        <f>K220*M220</f>
        <v>5940</v>
      </c>
      <c r="Q220" s="7">
        <v>1</v>
      </c>
      <c r="R220" s="7">
        <v>2</v>
      </c>
      <c r="S220" s="7">
        <v>2</v>
      </c>
      <c r="T220" s="7">
        <v>0</v>
      </c>
      <c r="U220" s="39" t="s">
        <v>202</v>
      </c>
      <c r="V220" s="17">
        <v>1</v>
      </c>
    </row>
    <row r="221" spans="1:22">
      <c r="A221" s="40" t="s">
        <v>143</v>
      </c>
      <c r="B221" s="41" t="s">
        <v>146</v>
      </c>
      <c r="C221" s="1" t="s">
        <v>132</v>
      </c>
      <c r="D221" s="2" t="s">
        <v>120</v>
      </c>
      <c r="E221" s="9">
        <v>83.18</v>
      </c>
      <c r="F221" s="9">
        <v>80.400000000000006</v>
      </c>
      <c r="G221" s="9">
        <v>85.96</v>
      </c>
      <c r="H221" s="9">
        <v>80.400000000000006</v>
      </c>
      <c r="I221" s="43">
        <v>85.96</v>
      </c>
      <c r="J221" s="14">
        <f t="shared" si="3"/>
        <v>83.18</v>
      </c>
      <c r="K221" s="8">
        <v>132</v>
      </c>
      <c r="L221" s="8">
        <v>20</v>
      </c>
      <c r="M221" s="8">
        <v>40</v>
      </c>
      <c r="N221" s="14">
        <f>IF(ROUNDUP(IF(K221 &gt; 132, K221 / 40, K221 / 36), 0) &gt;= 7, 6, ROUNDUP(IF(K221 &gt; 132, K221 / 40, K221 / 36), 0))</f>
        <v>4</v>
      </c>
      <c r="O221" s="28">
        <f>L221*K221</f>
        <v>2640</v>
      </c>
      <c r="P221" s="28">
        <f>K221*M221</f>
        <v>5280</v>
      </c>
      <c r="Q221" s="7">
        <v>0</v>
      </c>
      <c r="R221" s="7">
        <v>1</v>
      </c>
      <c r="S221" s="7">
        <v>2</v>
      </c>
      <c r="T221" s="36">
        <v>1</v>
      </c>
      <c r="U221" s="39" t="s">
        <v>203</v>
      </c>
      <c r="V221" s="17">
        <v>1</v>
      </c>
    </row>
    <row r="222" spans="1:22">
      <c r="A222" s="40" t="s">
        <v>143</v>
      </c>
      <c r="B222" s="30" t="s">
        <v>144</v>
      </c>
      <c r="C222" s="50" t="s">
        <v>204</v>
      </c>
      <c r="D222" s="2" t="s">
        <v>120</v>
      </c>
      <c r="E222" s="9">
        <v>85.5</v>
      </c>
      <c r="F222" s="9">
        <v>76.95</v>
      </c>
      <c r="G222" s="9">
        <v>94.06</v>
      </c>
      <c r="H222" s="9">
        <v>76.95</v>
      </c>
      <c r="I222" s="43">
        <v>94.06</v>
      </c>
      <c r="J222" s="14">
        <f t="shared" si="3"/>
        <v>85.503999999999991</v>
      </c>
      <c r="K222" s="8">
        <v>132</v>
      </c>
      <c r="L222" s="8">
        <v>40</v>
      </c>
      <c r="M222" s="8">
        <v>55</v>
      </c>
      <c r="N222" s="14">
        <f>IF(ROUNDUP(IF(K222 &gt; 132, K222 / 40, K222 / 36), 0) &gt;= 7, 6, ROUNDUP(IF(K222 &gt; 132, K222 / 40, K222 / 36), 0))</f>
        <v>4</v>
      </c>
      <c r="O222" s="28">
        <f>L222*K222</f>
        <v>5280</v>
      </c>
      <c r="P222" s="28">
        <f>K222*M222</f>
        <v>7260</v>
      </c>
      <c r="Q222" s="7">
        <v>1</v>
      </c>
      <c r="R222" s="7">
        <v>2</v>
      </c>
      <c r="S222" s="7">
        <v>2</v>
      </c>
      <c r="T222" s="7">
        <v>2</v>
      </c>
      <c r="U222" s="39" t="s">
        <v>205</v>
      </c>
      <c r="V222" s="17">
        <v>1</v>
      </c>
    </row>
    <row r="223" spans="1:22">
      <c r="A223" s="30" t="s">
        <v>206</v>
      </c>
      <c r="B223" s="30" t="s">
        <v>137</v>
      </c>
      <c r="C223" s="27" t="s">
        <v>24</v>
      </c>
      <c r="D223" s="32" t="s">
        <v>25</v>
      </c>
      <c r="E223" s="59">
        <v>98.6</v>
      </c>
      <c r="F223" s="59">
        <v>99.2</v>
      </c>
      <c r="G223" s="59">
        <v>96.8</v>
      </c>
      <c r="H223" s="59">
        <v>97.83</v>
      </c>
      <c r="I223" s="59">
        <v>98.1</v>
      </c>
      <c r="J223" s="14">
        <f t="shared" si="3"/>
        <v>98.105999999999995</v>
      </c>
      <c r="K223" s="8">
        <v>257</v>
      </c>
      <c r="L223" s="58">
        <v>150</v>
      </c>
      <c r="M223" s="8">
        <v>150</v>
      </c>
      <c r="N223" s="14">
        <f>IF(ROUNDUP(IF(K223 &gt; 132, K223 / 40, K223 / 36), 0) &gt;= 7, 6, ROUNDUP(IF(K223 &gt; 132, K223 / 40, K223 / 36), 0))</f>
        <v>6</v>
      </c>
      <c r="O223" s="28">
        <f>L223*K223</f>
        <v>38550</v>
      </c>
      <c r="P223" s="28">
        <f>K223*M223</f>
        <v>38550</v>
      </c>
      <c r="Q223" s="7">
        <v>1</v>
      </c>
      <c r="R223" s="7">
        <v>4</v>
      </c>
      <c r="S223" s="7">
        <v>4</v>
      </c>
      <c r="T223" s="7">
        <v>2</v>
      </c>
      <c r="U223" s="74" t="s">
        <v>207</v>
      </c>
      <c r="V223" s="17">
        <v>1</v>
      </c>
    </row>
    <row r="224" spans="1:22">
      <c r="A224" s="54" t="s">
        <v>206</v>
      </c>
      <c r="B224" s="54" t="s">
        <v>137</v>
      </c>
      <c r="C224" s="27" t="s">
        <v>27</v>
      </c>
      <c r="D224" s="32" t="s">
        <v>25</v>
      </c>
      <c r="E224" s="59">
        <v>97.4</v>
      </c>
      <c r="F224" s="59">
        <v>98.4</v>
      </c>
      <c r="G224" s="59">
        <v>94.7</v>
      </c>
      <c r="H224" s="59">
        <v>96.45</v>
      </c>
      <c r="I224" s="59">
        <v>97.15</v>
      </c>
      <c r="J224" s="14">
        <f t="shared" si="3"/>
        <v>96.820000000000007</v>
      </c>
      <c r="K224" s="8">
        <v>210</v>
      </c>
      <c r="L224" s="58">
        <v>150</v>
      </c>
      <c r="M224" s="8">
        <v>150</v>
      </c>
      <c r="N224" s="14">
        <f>IF(ROUNDUP(IF(K224 &gt; 132, K224 / 40, K224 / 36), 0) &gt;= 7, 6, ROUNDUP(IF(K224 &gt; 132, K224 / 40, K224 / 36), 0))</f>
        <v>6</v>
      </c>
      <c r="O224" s="28">
        <f>L224*K224</f>
        <v>31500</v>
      </c>
      <c r="P224" s="28">
        <f>K224*M224</f>
        <v>31500</v>
      </c>
      <c r="Q224" s="7">
        <v>1</v>
      </c>
      <c r="R224" s="7">
        <v>4</v>
      </c>
      <c r="S224" s="7">
        <v>4</v>
      </c>
      <c r="T224" s="7">
        <v>1</v>
      </c>
      <c r="U224" s="75" t="s">
        <v>208</v>
      </c>
      <c r="V224" s="17">
        <v>1</v>
      </c>
    </row>
    <row r="225" spans="1:22">
      <c r="A225" s="54" t="s">
        <v>206</v>
      </c>
      <c r="B225" s="54" t="s">
        <v>137</v>
      </c>
      <c r="C225" s="27" t="s">
        <v>29</v>
      </c>
      <c r="D225" s="32" t="s">
        <v>25</v>
      </c>
      <c r="E225" s="59">
        <v>96.3</v>
      </c>
      <c r="F225" s="59">
        <v>97.7</v>
      </c>
      <c r="G225" s="59">
        <v>92.75</v>
      </c>
      <c r="H225" s="59">
        <v>94.55</v>
      </c>
      <c r="I225" s="59">
        <v>95.8</v>
      </c>
      <c r="J225" s="14">
        <f t="shared" si="3"/>
        <v>95.42</v>
      </c>
      <c r="K225" s="51">
        <v>165</v>
      </c>
      <c r="L225" s="58">
        <v>75</v>
      </c>
      <c r="M225" s="51">
        <v>150</v>
      </c>
      <c r="N225" s="14">
        <f>IF(ROUNDUP(IF(K225 &gt; 132, K225 / 40, K225 / 36), 0) &gt;= 7, 6, ROUNDUP(IF(K225 &gt; 132, K225 / 40, K225 / 36), 0))</f>
        <v>5</v>
      </c>
      <c r="O225" s="28">
        <f>L225*K225</f>
        <v>12375</v>
      </c>
      <c r="P225" s="28">
        <f>K225*M225</f>
        <v>24750</v>
      </c>
      <c r="Q225" s="15">
        <v>1</v>
      </c>
      <c r="R225" s="15">
        <v>3</v>
      </c>
      <c r="S225" s="15">
        <v>3</v>
      </c>
      <c r="T225" s="15">
        <v>1</v>
      </c>
      <c r="U225" s="75" t="s">
        <v>209</v>
      </c>
      <c r="V225" s="15">
        <v>1</v>
      </c>
    </row>
    <row r="226" spans="1:22">
      <c r="A226" s="54" t="s">
        <v>206</v>
      </c>
      <c r="B226" s="54" t="s">
        <v>137</v>
      </c>
      <c r="C226" s="27" t="s">
        <v>210</v>
      </c>
      <c r="D226" s="32" t="s">
        <v>25</v>
      </c>
      <c r="E226" s="59">
        <v>96.8</v>
      </c>
      <c r="F226" s="59">
        <v>98</v>
      </c>
      <c r="G226" s="59">
        <v>93.2</v>
      </c>
      <c r="H226" s="59">
        <v>94.95</v>
      </c>
      <c r="I226" s="59">
        <v>96.5</v>
      </c>
      <c r="J226" s="14">
        <f t="shared" si="3"/>
        <v>95.89</v>
      </c>
      <c r="K226" s="51">
        <v>216</v>
      </c>
      <c r="L226" s="51">
        <v>100</v>
      </c>
      <c r="M226" s="51">
        <v>100</v>
      </c>
      <c r="N226" s="14">
        <f>IF(ROUNDUP(IF(K226 &gt; 132, K226 / 40, K226 / 36), 0) &gt;= 7, 6, ROUNDUP(IF(K226 &gt; 132, K226 / 40, K226 / 36), 0))</f>
        <v>6</v>
      </c>
      <c r="O226" s="28">
        <f>L226*K226</f>
        <v>21600</v>
      </c>
      <c r="P226" s="28">
        <f>K226*M226</f>
        <v>21600</v>
      </c>
      <c r="Q226" s="15">
        <v>1</v>
      </c>
      <c r="R226" s="15">
        <v>4</v>
      </c>
      <c r="S226" s="15">
        <v>4</v>
      </c>
      <c r="T226" s="15">
        <v>1</v>
      </c>
      <c r="U226" s="75" t="s">
        <v>211</v>
      </c>
      <c r="V226" s="17">
        <v>1</v>
      </c>
    </row>
    <row r="227" spans="1:22">
      <c r="A227" s="54" t="s">
        <v>206</v>
      </c>
      <c r="B227" s="54" t="s">
        <v>137</v>
      </c>
      <c r="C227" s="55" t="s">
        <v>212</v>
      </c>
      <c r="D227" s="32" t="s">
        <v>25</v>
      </c>
      <c r="E227" s="59">
        <v>89.6</v>
      </c>
      <c r="F227" s="59">
        <v>95.8</v>
      </c>
      <c r="G227" s="59">
        <v>90.65</v>
      </c>
      <c r="H227" s="59">
        <v>93.25</v>
      </c>
      <c r="I227" s="59">
        <v>96.35</v>
      </c>
      <c r="J227" s="14">
        <f t="shared" si="3"/>
        <v>93.13</v>
      </c>
      <c r="K227" s="51">
        <v>183</v>
      </c>
      <c r="L227" s="51">
        <v>50</v>
      </c>
      <c r="M227" s="51">
        <v>120</v>
      </c>
      <c r="N227" s="14">
        <f>IF(ROUNDUP(IF(K227 &gt; 132, K227 / 40, K227 / 36), 0) &gt;= 7, 6, ROUNDUP(IF(K227 &gt; 132, K227 / 40, K227 / 36), 0))</f>
        <v>5</v>
      </c>
      <c r="O227" s="28">
        <f>L227*K227</f>
        <v>9150</v>
      </c>
      <c r="P227" s="28">
        <f>K227*M227</f>
        <v>21960</v>
      </c>
      <c r="Q227" s="15">
        <v>1</v>
      </c>
      <c r="R227" s="15">
        <v>4</v>
      </c>
      <c r="S227" s="15">
        <v>4</v>
      </c>
      <c r="T227" s="15">
        <v>2</v>
      </c>
      <c r="U227" s="75" t="s">
        <v>213</v>
      </c>
      <c r="V227" s="17">
        <v>1</v>
      </c>
    </row>
    <row r="228" spans="1:22">
      <c r="A228" s="54" t="s">
        <v>206</v>
      </c>
      <c r="B228" s="26" t="s">
        <v>137</v>
      </c>
      <c r="C228" s="55" t="s">
        <v>214</v>
      </c>
      <c r="D228" s="32" t="s">
        <v>25</v>
      </c>
      <c r="E228" s="59">
        <v>92</v>
      </c>
      <c r="F228" s="59">
        <v>95.9</v>
      </c>
      <c r="G228" s="59">
        <v>88.85</v>
      </c>
      <c r="H228" s="59">
        <v>91.7</v>
      </c>
      <c r="I228" s="59">
        <v>92.9</v>
      </c>
      <c r="J228" s="14">
        <f t="shared" si="3"/>
        <v>92.27000000000001</v>
      </c>
      <c r="K228" s="51">
        <v>135</v>
      </c>
      <c r="L228" s="51">
        <v>50</v>
      </c>
      <c r="M228" s="51">
        <v>50</v>
      </c>
      <c r="N228" s="14">
        <f>IF(ROUNDUP(IF(K228 &gt; 132, K228 / 40, K228 / 36), 0) &gt;= 7, 6, ROUNDUP(IF(K228 &gt; 132, K228 / 40, K228 / 36), 0))</f>
        <v>4</v>
      </c>
      <c r="O228" s="28">
        <f>L228*K228</f>
        <v>6750</v>
      </c>
      <c r="P228" s="28">
        <f>K228*M228</f>
        <v>6750</v>
      </c>
      <c r="Q228" s="15">
        <v>1</v>
      </c>
      <c r="R228" s="15">
        <v>4</v>
      </c>
      <c r="S228" s="15">
        <v>3</v>
      </c>
      <c r="T228" s="15">
        <v>1</v>
      </c>
      <c r="U228" s="75" t="s">
        <v>215</v>
      </c>
      <c r="V228" s="17">
        <v>1</v>
      </c>
    </row>
    <row r="229" spans="1:22">
      <c r="A229" s="54" t="s">
        <v>206</v>
      </c>
      <c r="B229" s="54" t="s">
        <v>137</v>
      </c>
      <c r="C229" s="55" t="s">
        <v>31</v>
      </c>
      <c r="D229" s="32" t="s">
        <v>25</v>
      </c>
      <c r="E229" s="59">
        <v>90.9</v>
      </c>
      <c r="F229" s="59">
        <v>95.3</v>
      </c>
      <c r="G229" s="59">
        <v>90</v>
      </c>
      <c r="H229" s="59">
        <v>92.35</v>
      </c>
      <c r="I229" s="59">
        <v>94.5</v>
      </c>
      <c r="J229" s="14">
        <f t="shared" si="3"/>
        <v>92.609999999999985</v>
      </c>
      <c r="K229" s="51">
        <v>134</v>
      </c>
      <c r="L229" s="51">
        <v>50</v>
      </c>
      <c r="M229" s="51">
        <v>50</v>
      </c>
      <c r="N229" s="14">
        <f>IF(ROUNDUP(IF(K229 &gt; 132, K229 / 40, K229 / 36), 0) &gt;= 7, 6, ROUNDUP(IF(K229 &gt; 132, K229 / 40, K229 / 36), 0))</f>
        <v>4</v>
      </c>
      <c r="O229" s="28">
        <f>L229*K229</f>
        <v>6700</v>
      </c>
      <c r="P229" s="28">
        <f>K229*M229</f>
        <v>6700</v>
      </c>
      <c r="Q229" s="15">
        <v>1</v>
      </c>
      <c r="R229" s="15">
        <v>4</v>
      </c>
      <c r="S229" s="15">
        <v>3</v>
      </c>
      <c r="T229" s="15">
        <v>2</v>
      </c>
      <c r="U229" s="75" t="s">
        <v>216</v>
      </c>
      <c r="V229" s="17">
        <v>1</v>
      </c>
    </row>
    <row r="230" spans="1:22">
      <c r="A230" s="54" t="s">
        <v>206</v>
      </c>
      <c r="B230" s="54" t="s">
        <v>137</v>
      </c>
      <c r="C230" s="55" t="s">
        <v>35</v>
      </c>
      <c r="D230" s="32" t="s">
        <v>25</v>
      </c>
      <c r="E230" s="59">
        <v>91.4</v>
      </c>
      <c r="F230" s="59">
        <v>95.5</v>
      </c>
      <c r="G230" s="59">
        <v>88.4</v>
      </c>
      <c r="H230" s="59">
        <v>91.25</v>
      </c>
      <c r="I230" s="59">
        <v>93.95</v>
      </c>
      <c r="J230" s="14">
        <f t="shared" si="3"/>
        <v>92.1</v>
      </c>
      <c r="K230" s="51">
        <v>133</v>
      </c>
      <c r="L230" s="51">
        <v>50</v>
      </c>
      <c r="M230" s="51">
        <v>50</v>
      </c>
      <c r="N230" s="14">
        <f>IF(ROUNDUP(IF(K230 &gt; 132, K230 / 40, K230 / 36), 0) &gt;= 7, 6, ROUNDUP(IF(K230 &gt; 132, K230 / 40, K230 / 36), 0))</f>
        <v>4</v>
      </c>
      <c r="O230" s="28">
        <f>L230*K230</f>
        <v>6650</v>
      </c>
      <c r="P230" s="28">
        <f>K230*M230</f>
        <v>6650</v>
      </c>
      <c r="Q230" s="15">
        <v>1</v>
      </c>
      <c r="R230" s="15">
        <v>4</v>
      </c>
      <c r="S230" s="15">
        <v>3</v>
      </c>
      <c r="T230" s="15">
        <v>1</v>
      </c>
      <c r="U230" s="75" t="s">
        <v>217</v>
      </c>
      <c r="V230" s="17">
        <v>1</v>
      </c>
    </row>
    <row r="231" spans="1:22">
      <c r="A231" s="54" t="s">
        <v>206</v>
      </c>
      <c r="B231" s="54" t="s">
        <v>137</v>
      </c>
      <c r="C231" s="55" t="s">
        <v>218</v>
      </c>
      <c r="D231" s="32" t="s">
        <v>25</v>
      </c>
      <c r="E231" s="59">
        <v>89.3</v>
      </c>
      <c r="F231" s="59">
        <v>94.2</v>
      </c>
      <c r="G231" s="59">
        <v>86.1</v>
      </c>
      <c r="H231" s="59">
        <v>88.6</v>
      </c>
      <c r="I231" s="59">
        <v>92.35</v>
      </c>
      <c r="J231" s="14">
        <f t="shared" si="3"/>
        <v>90.110000000000014</v>
      </c>
      <c r="K231" s="51">
        <v>138</v>
      </c>
      <c r="L231" s="51">
        <v>50</v>
      </c>
      <c r="M231" s="51">
        <v>50</v>
      </c>
      <c r="N231" s="14">
        <f>IF(ROUNDUP(IF(K231 &gt; 132, K231 / 40, K231 / 36), 0) &gt;= 7, 6, ROUNDUP(IF(K231 &gt; 132, K231 / 40, K231 / 36), 0))</f>
        <v>4</v>
      </c>
      <c r="O231" s="28">
        <f>L231*K231</f>
        <v>6900</v>
      </c>
      <c r="P231" s="28">
        <f>K231*M231</f>
        <v>6900</v>
      </c>
      <c r="Q231" s="15">
        <v>1</v>
      </c>
      <c r="R231" s="15">
        <v>4</v>
      </c>
      <c r="S231" s="15">
        <v>2</v>
      </c>
      <c r="T231" s="15">
        <v>2</v>
      </c>
      <c r="U231" s="75" t="s">
        <v>219</v>
      </c>
      <c r="V231" s="15">
        <v>1</v>
      </c>
    </row>
    <row r="232" spans="1:22">
      <c r="A232" s="54" t="s">
        <v>206</v>
      </c>
      <c r="B232" s="54" t="s">
        <v>137</v>
      </c>
      <c r="C232" s="55" t="s">
        <v>220</v>
      </c>
      <c r="D232" s="32" t="s">
        <v>25</v>
      </c>
      <c r="E232" s="59">
        <v>90.4</v>
      </c>
      <c r="F232" s="59">
        <v>93.9</v>
      </c>
      <c r="G232" s="59">
        <v>85.5</v>
      </c>
      <c r="H232" s="59">
        <v>88.95</v>
      </c>
      <c r="I232" s="59">
        <v>91.65</v>
      </c>
      <c r="J232" s="14">
        <f t="shared" si="3"/>
        <v>90.08</v>
      </c>
      <c r="K232" s="51">
        <v>135</v>
      </c>
      <c r="L232" s="51">
        <v>75</v>
      </c>
      <c r="M232" s="51">
        <v>50</v>
      </c>
      <c r="N232" s="14">
        <f>IF(ROUNDUP(IF(K232 &gt; 132, K232 / 40, K232 / 36), 0) &gt;= 7, 6, ROUNDUP(IF(K232 &gt; 132, K232 / 40, K232 / 36), 0))</f>
        <v>4</v>
      </c>
      <c r="O232" s="28">
        <f>L232*K232</f>
        <v>10125</v>
      </c>
      <c r="P232" s="28">
        <f>K232*M232</f>
        <v>6750</v>
      </c>
      <c r="Q232" s="15">
        <v>1</v>
      </c>
      <c r="R232" s="15">
        <v>3</v>
      </c>
      <c r="S232" s="15">
        <v>3</v>
      </c>
      <c r="T232" s="15">
        <v>1</v>
      </c>
      <c r="U232" s="75" t="s">
        <v>221</v>
      </c>
      <c r="V232" s="17">
        <v>1</v>
      </c>
    </row>
    <row r="233" spans="1:22">
      <c r="A233" s="30" t="s">
        <v>206</v>
      </c>
      <c r="B233" s="54" t="s">
        <v>137</v>
      </c>
      <c r="C233" s="55" t="s">
        <v>222</v>
      </c>
      <c r="D233" s="32" t="s">
        <v>25</v>
      </c>
      <c r="E233" s="59">
        <v>92.2</v>
      </c>
      <c r="F233" s="59">
        <v>95.5</v>
      </c>
      <c r="G233" s="59">
        <v>88.4</v>
      </c>
      <c r="H233" s="15">
        <v>91.7</v>
      </c>
      <c r="I233" s="59">
        <v>93.25</v>
      </c>
      <c r="J233" s="14">
        <f t="shared" si="3"/>
        <v>92.210000000000008</v>
      </c>
      <c r="K233" s="51">
        <v>137</v>
      </c>
      <c r="L233" s="51">
        <v>50</v>
      </c>
      <c r="M233" s="51">
        <v>50</v>
      </c>
      <c r="N233" s="14">
        <f>IF(ROUNDUP(IF(K233 &gt; 132, K233 / 40, K233 / 36), 0) &gt;= 7, 6, ROUNDUP(IF(K233 &gt; 132, K233 / 40, K233 / 36), 0))</f>
        <v>4</v>
      </c>
      <c r="O233" s="28">
        <f>L233*K233</f>
        <v>6850</v>
      </c>
      <c r="P233" s="28">
        <f>K233*M233</f>
        <v>6850</v>
      </c>
      <c r="Q233" s="15">
        <v>1</v>
      </c>
      <c r="R233" s="15">
        <v>4</v>
      </c>
      <c r="S233" s="15">
        <v>3</v>
      </c>
      <c r="T233" s="15">
        <v>2</v>
      </c>
      <c r="U233" s="75" t="s">
        <v>223</v>
      </c>
      <c r="V233" s="17">
        <v>1</v>
      </c>
    </row>
    <row r="234" spans="1:22">
      <c r="A234" s="54" t="s">
        <v>206</v>
      </c>
      <c r="B234" s="54" t="s">
        <v>137</v>
      </c>
      <c r="C234" s="55" t="s">
        <v>224</v>
      </c>
      <c r="D234" s="32" t="s">
        <v>25</v>
      </c>
      <c r="E234" s="59">
        <v>88.7</v>
      </c>
      <c r="F234" s="59">
        <v>93.7</v>
      </c>
      <c r="G234" s="59">
        <v>87.05</v>
      </c>
      <c r="H234" s="59">
        <v>89.7</v>
      </c>
      <c r="I234" s="59">
        <v>92.5</v>
      </c>
      <c r="J234" s="14">
        <f t="shared" si="3"/>
        <v>90.33</v>
      </c>
      <c r="K234" s="51">
        <v>137</v>
      </c>
      <c r="L234" s="51">
        <v>50</v>
      </c>
      <c r="M234" s="51">
        <v>50</v>
      </c>
      <c r="N234" s="14">
        <f>IF(ROUNDUP(IF(K234 &gt; 132, K234 / 40, K234 / 36), 0) &gt;= 7, 6, ROUNDUP(IF(K234 &gt; 132, K234 / 40, K234 / 36), 0))</f>
        <v>4</v>
      </c>
      <c r="O234" s="28">
        <f>L234*K234</f>
        <v>6850</v>
      </c>
      <c r="P234" s="28">
        <f>K234*M234</f>
        <v>6850</v>
      </c>
      <c r="Q234" s="15">
        <v>1</v>
      </c>
      <c r="R234" s="15">
        <v>4</v>
      </c>
      <c r="S234" s="15">
        <v>3</v>
      </c>
      <c r="T234" s="15">
        <v>2</v>
      </c>
      <c r="U234" s="75" t="s">
        <v>225</v>
      </c>
      <c r="V234" s="17">
        <v>1</v>
      </c>
    </row>
    <row r="235" spans="1:22">
      <c r="A235" s="54" t="s">
        <v>206</v>
      </c>
      <c r="B235" s="26" t="s">
        <v>137</v>
      </c>
      <c r="C235" s="55" t="s">
        <v>226</v>
      </c>
      <c r="D235" s="32" t="s">
        <v>25</v>
      </c>
      <c r="E235" s="59">
        <v>90.4</v>
      </c>
      <c r="F235" s="59">
        <v>94.4</v>
      </c>
      <c r="G235" s="59">
        <v>85.9</v>
      </c>
      <c r="H235" s="59">
        <v>87.8</v>
      </c>
      <c r="I235" s="59">
        <v>91.5</v>
      </c>
      <c r="J235" s="14">
        <f t="shared" si="3"/>
        <v>90.000000000000014</v>
      </c>
      <c r="K235" s="51">
        <v>143</v>
      </c>
      <c r="L235" s="51">
        <v>50</v>
      </c>
      <c r="M235" s="51">
        <v>50</v>
      </c>
      <c r="N235" s="14">
        <f>IF(ROUNDUP(IF(K235 &gt; 132, K235 / 40, K235 / 36), 0) &gt;= 7, 6, ROUNDUP(IF(K235 &gt; 132, K235 / 40, K235 / 36), 0))</f>
        <v>4</v>
      </c>
      <c r="O235" s="28">
        <f>L235*K235</f>
        <v>7150</v>
      </c>
      <c r="P235" s="28">
        <f>K235*M235</f>
        <v>7150</v>
      </c>
      <c r="Q235" s="15">
        <v>1</v>
      </c>
      <c r="R235" s="15">
        <v>3</v>
      </c>
      <c r="S235" s="15">
        <v>2</v>
      </c>
      <c r="T235" s="15">
        <v>2</v>
      </c>
      <c r="U235" s="75" t="s">
        <v>227</v>
      </c>
      <c r="V235" s="17">
        <v>1</v>
      </c>
    </row>
    <row r="236" spans="1:22">
      <c r="A236" s="54" t="s">
        <v>206</v>
      </c>
      <c r="B236" s="54" t="s">
        <v>137</v>
      </c>
      <c r="C236" s="55" t="s">
        <v>228</v>
      </c>
      <c r="D236" s="32" t="s">
        <v>25</v>
      </c>
      <c r="E236" s="59">
        <v>91.5</v>
      </c>
      <c r="F236" s="59">
        <v>95.2</v>
      </c>
      <c r="G236" s="15">
        <v>86.9</v>
      </c>
      <c r="H236" s="59">
        <v>90.9</v>
      </c>
      <c r="I236" s="59">
        <v>93</v>
      </c>
      <c r="J236" s="14">
        <f t="shared" si="3"/>
        <v>91.5</v>
      </c>
      <c r="K236" s="51">
        <v>132</v>
      </c>
      <c r="L236" s="51">
        <v>50</v>
      </c>
      <c r="M236" s="51">
        <v>130</v>
      </c>
      <c r="N236" s="14">
        <f>IF(ROUNDUP(IF(K236 &gt; 132, K236 / 40, K236 / 36), 0) &gt;= 7, 6, ROUNDUP(IF(K236 &gt; 132, K236 / 40, K236 / 36), 0))</f>
        <v>4</v>
      </c>
      <c r="O236" s="28">
        <f>L236*K236</f>
        <v>6600</v>
      </c>
      <c r="P236" s="28">
        <f>K236*M236</f>
        <v>17160</v>
      </c>
      <c r="Q236" s="15">
        <v>1</v>
      </c>
      <c r="R236" s="15">
        <v>4</v>
      </c>
      <c r="S236" s="15">
        <v>3</v>
      </c>
      <c r="T236" s="15">
        <v>2</v>
      </c>
      <c r="U236" s="75" t="s">
        <v>229</v>
      </c>
      <c r="V236" s="17">
        <v>1</v>
      </c>
    </row>
    <row r="237" spans="1:22">
      <c r="A237" s="54" t="s">
        <v>206</v>
      </c>
      <c r="B237" s="54" t="s">
        <v>137</v>
      </c>
      <c r="C237" s="55" t="s">
        <v>230</v>
      </c>
      <c r="D237" s="35" t="s">
        <v>42</v>
      </c>
      <c r="E237" s="59">
        <v>91.5</v>
      </c>
      <c r="F237" s="59">
        <v>95.6</v>
      </c>
      <c r="G237" s="59">
        <v>83.15</v>
      </c>
      <c r="H237" s="59">
        <v>88.15</v>
      </c>
      <c r="I237" s="59">
        <v>90</v>
      </c>
      <c r="J237" s="14">
        <f t="shared" si="3"/>
        <v>89.679999999999993</v>
      </c>
      <c r="K237" s="51">
        <v>160</v>
      </c>
      <c r="L237" s="51">
        <v>60</v>
      </c>
      <c r="M237" s="51">
        <v>60</v>
      </c>
      <c r="N237" s="14">
        <f>IF(ROUNDUP(IF(K237 &gt; 132, K237 / 40, K237 / 36), 0) &gt;= 7, 6, ROUNDUP(IF(K237 &gt; 132, K237 / 40, K237 / 36), 0))</f>
        <v>4</v>
      </c>
      <c r="O237" s="28">
        <f>L237*K237</f>
        <v>9600</v>
      </c>
      <c r="P237" s="28">
        <f>K237*M237</f>
        <v>9600</v>
      </c>
      <c r="Q237" s="15">
        <v>1</v>
      </c>
      <c r="R237" s="15">
        <v>3</v>
      </c>
      <c r="S237" s="15">
        <v>4</v>
      </c>
      <c r="T237" s="15">
        <v>1</v>
      </c>
      <c r="U237" s="75" t="s">
        <v>231</v>
      </c>
      <c r="V237" s="15">
        <v>1</v>
      </c>
    </row>
    <row r="238" spans="1:22">
      <c r="A238" s="54" t="s">
        <v>206</v>
      </c>
      <c r="B238" s="54" t="s">
        <v>137</v>
      </c>
      <c r="C238" s="55" t="s">
        <v>50</v>
      </c>
      <c r="D238" s="35" t="s">
        <v>42</v>
      </c>
      <c r="E238" s="59">
        <v>93.4</v>
      </c>
      <c r="F238" s="59">
        <v>95.5</v>
      </c>
      <c r="G238" s="59">
        <v>87.65</v>
      </c>
      <c r="H238" s="59">
        <v>90.4</v>
      </c>
      <c r="I238" s="59">
        <v>92.97</v>
      </c>
      <c r="J238" s="14">
        <f t="shared" si="3"/>
        <v>91.984000000000009</v>
      </c>
      <c r="K238" s="51">
        <v>159</v>
      </c>
      <c r="L238" s="51">
        <v>50</v>
      </c>
      <c r="M238" s="51">
        <v>50</v>
      </c>
      <c r="N238" s="14">
        <f>IF(ROUNDUP(IF(K238 &gt; 132, K238 / 40, K238 / 36), 0) &gt;= 7, 6, ROUNDUP(IF(K238 &gt; 132, K238 / 40, K238 / 36), 0))</f>
        <v>4</v>
      </c>
      <c r="O238" s="28">
        <f>L238*K238</f>
        <v>7950</v>
      </c>
      <c r="P238" s="28">
        <f>K238*M238</f>
        <v>7950</v>
      </c>
      <c r="Q238" s="15">
        <v>1</v>
      </c>
      <c r="R238" s="15">
        <v>3</v>
      </c>
      <c r="S238" s="15">
        <v>4</v>
      </c>
      <c r="T238" s="15">
        <v>1</v>
      </c>
      <c r="U238" s="75" t="s">
        <v>232</v>
      </c>
      <c r="V238" s="17">
        <v>1</v>
      </c>
    </row>
    <row r="239" spans="1:22">
      <c r="A239" s="54" t="s">
        <v>206</v>
      </c>
      <c r="B239" s="54" t="s">
        <v>137</v>
      </c>
      <c r="C239" s="55" t="s">
        <v>233</v>
      </c>
      <c r="D239" s="35" t="s">
        <v>42</v>
      </c>
      <c r="E239" s="59">
        <v>94.6</v>
      </c>
      <c r="F239" s="59">
        <v>96.9</v>
      </c>
      <c r="G239" s="59">
        <v>90.55</v>
      </c>
      <c r="H239" s="59">
        <v>93.35</v>
      </c>
      <c r="I239" s="59">
        <v>94.5</v>
      </c>
      <c r="J239" s="14">
        <f t="shared" si="3"/>
        <v>93.97999999999999</v>
      </c>
      <c r="K239" s="51">
        <v>160</v>
      </c>
      <c r="L239" s="51">
        <v>75</v>
      </c>
      <c r="M239" s="51">
        <v>75</v>
      </c>
      <c r="N239" s="14">
        <f>IF(ROUNDUP(IF(K239 &gt; 132, K239 / 40, K239 / 36), 0) &gt;= 7, 6, ROUNDUP(IF(K239 &gt; 132, K239 / 40, K239 / 36), 0))</f>
        <v>4</v>
      </c>
      <c r="O239" s="28">
        <f>L239*K239</f>
        <v>12000</v>
      </c>
      <c r="P239" s="28">
        <f>K239*M239</f>
        <v>12000</v>
      </c>
      <c r="Q239" s="15">
        <v>1</v>
      </c>
      <c r="R239" s="15">
        <v>3</v>
      </c>
      <c r="S239" s="15">
        <v>4</v>
      </c>
      <c r="T239" s="15">
        <v>1</v>
      </c>
      <c r="U239" s="75" t="s">
        <v>234</v>
      </c>
      <c r="V239" s="17">
        <v>1</v>
      </c>
    </row>
    <row r="240" spans="1:22">
      <c r="A240" s="30" t="s">
        <v>206</v>
      </c>
      <c r="B240" s="54" t="s">
        <v>137</v>
      </c>
      <c r="C240" s="55" t="s">
        <v>235</v>
      </c>
      <c r="D240" s="35" t="s">
        <v>42</v>
      </c>
      <c r="E240" s="59">
        <v>94.6</v>
      </c>
      <c r="F240" s="59">
        <v>96.1</v>
      </c>
      <c r="G240" s="59">
        <v>90.4</v>
      </c>
      <c r="H240" s="59">
        <v>93.95</v>
      </c>
      <c r="I240" s="59">
        <v>95.15</v>
      </c>
      <c r="J240" s="14">
        <f t="shared" si="3"/>
        <v>94.04</v>
      </c>
      <c r="K240" s="51">
        <v>160</v>
      </c>
      <c r="L240" s="51">
        <v>100</v>
      </c>
      <c r="M240" s="51">
        <v>100</v>
      </c>
      <c r="N240" s="14">
        <f>IF(ROUNDUP(IF(K240 &gt; 132, K240 / 40, K240 / 36), 0) &gt;= 7, 6, ROUNDUP(IF(K240 &gt; 132, K240 / 40, K240 / 36), 0))</f>
        <v>4</v>
      </c>
      <c r="O240" s="28">
        <f>L240*K240</f>
        <v>16000</v>
      </c>
      <c r="P240" s="28">
        <f>K240*M240</f>
        <v>16000</v>
      </c>
      <c r="Q240" s="15">
        <v>1</v>
      </c>
      <c r="R240" s="15">
        <v>2</v>
      </c>
      <c r="S240" s="15">
        <v>4</v>
      </c>
      <c r="T240" s="15">
        <v>0</v>
      </c>
      <c r="U240" s="75" t="s">
        <v>236</v>
      </c>
      <c r="V240" s="17">
        <v>1</v>
      </c>
    </row>
    <row r="241" spans="1:22">
      <c r="A241" s="54" t="s">
        <v>206</v>
      </c>
      <c r="B241" s="54" t="s">
        <v>137</v>
      </c>
      <c r="C241" s="55" t="s">
        <v>56</v>
      </c>
      <c r="D241" s="35" t="s">
        <v>42</v>
      </c>
      <c r="E241" s="59">
        <v>93.4</v>
      </c>
      <c r="F241" s="59">
        <v>96.3</v>
      </c>
      <c r="G241" s="59">
        <v>88.2</v>
      </c>
      <c r="H241" s="59">
        <v>90.75</v>
      </c>
      <c r="I241" s="59">
        <v>94.6</v>
      </c>
      <c r="J241" s="14">
        <f t="shared" si="3"/>
        <v>92.65</v>
      </c>
      <c r="K241" s="51">
        <v>160</v>
      </c>
      <c r="L241" s="51">
        <v>60</v>
      </c>
      <c r="M241" s="51">
        <v>60</v>
      </c>
      <c r="N241" s="14">
        <f>IF(ROUNDUP(IF(K241 &gt; 132, K241 / 40, K241 / 36), 0) &gt;= 7, 6, ROUNDUP(IF(K241 &gt; 132, K241 / 40, K241 / 36), 0))</f>
        <v>4</v>
      </c>
      <c r="O241" s="28">
        <f>L241*K241</f>
        <v>9600</v>
      </c>
      <c r="P241" s="28">
        <f>K241*M241</f>
        <v>9600</v>
      </c>
      <c r="Q241" s="15">
        <v>1</v>
      </c>
      <c r="R241" s="15">
        <v>2</v>
      </c>
      <c r="S241" s="15">
        <v>3</v>
      </c>
      <c r="T241" s="15">
        <v>2</v>
      </c>
      <c r="U241" t="s">
        <v>237</v>
      </c>
      <c r="V241" s="17">
        <v>1</v>
      </c>
    </row>
    <row r="242" spans="1:22">
      <c r="A242" s="54" t="s">
        <v>206</v>
      </c>
      <c r="B242" s="30" t="s">
        <v>137</v>
      </c>
      <c r="C242" s="55" t="s">
        <v>52</v>
      </c>
      <c r="D242" s="35" t="s">
        <v>42</v>
      </c>
      <c r="E242" s="59">
        <v>92.4</v>
      </c>
      <c r="F242" s="59">
        <v>95.5</v>
      </c>
      <c r="G242" s="59">
        <v>90.65</v>
      </c>
      <c r="H242" s="59">
        <v>93.2</v>
      </c>
      <c r="I242" s="59">
        <v>96.05</v>
      </c>
      <c r="J242" s="14">
        <f t="shared" si="3"/>
        <v>93.56</v>
      </c>
      <c r="K242" s="51">
        <v>160</v>
      </c>
      <c r="L242" s="51">
        <v>75</v>
      </c>
      <c r="M242" s="51">
        <v>75</v>
      </c>
      <c r="N242" s="14">
        <f>IF(ROUNDUP(IF(K242 &gt; 132, K242 / 40, K242 / 36), 0) &gt;= 7, 6, ROUNDUP(IF(K242 &gt; 132, K242 / 40, K242 / 36), 0))</f>
        <v>4</v>
      </c>
      <c r="O242" s="28">
        <f>L242*K242</f>
        <v>12000</v>
      </c>
      <c r="P242" s="28">
        <f>K242*M242</f>
        <v>12000</v>
      </c>
      <c r="Q242" s="15">
        <v>1</v>
      </c>
      <c r="R242" s="15">
        <v>2</v>
      </c>
      <c r="S242" s="15">
        <v>4</v>
      </c>
      <c r="T242" s="15">
        <v>2</v>
      </c>
      <c r="U242" s="75" t="s">
        <v>238</v>
      </c>
      <c r="V242" s="17">
        <v>1</v>
      </c>
    </row>
    <row r="243" spans="1:22">
      <c r="A243" s="54" t="s">
        <v>206</v>
      </c>
      <c r="B243" s="54" t="s">
        <v>137</v>
      </c>
      <c r="C243" s="55" t="s">
        <v>239</v>
      </c>
      <c r="D243" s="35" t="s">
        <v>42</v>
      </c>
      <c r="E243" s="15">
        <v>93.6</v>
      </c>
      <c r="F243" s="59">
        <v>96.5</v>
      </c>
      <c r="G243" s="59">
        <v>89.3</v>
      </c>
      <c r="H243" s="59">
        <v>92.05</v>
      </c>
      <c r="I243" s="59">
        <v>94.3</v>
      </c>
      <c r="J243" s="14">
        <f t="shared" si="3"/>
        <v>93.15</v>
      </c>
      <c r="K243" s="51">
        <v>160</v>
      </c>
      <c r="L243" s="51">
        <v>100</v>
      </c>
      <c r="M243" s="51">
        <v>100</v>
      </c>
      <c r="N243" s="14">
        <f>IF(ROUNDUP(IF(K243 &gt; 132, K243 / 40, K243 / 36), 0) &gt;= 7, 6, ROUNDUP(IF(K243 &gt; 132, K243 / 40, K243 / 36), 0))</f>
        <v>4</v>
      </c>
      <c r="O243" s="28">
        <f>L243*K243</f>
        <v>16000</v>
      </c>
      <c r="P243" s="28">
        <f>K243*M243</f>
        <v>16000</v>
      </c>
      <c r="Q243" s="15">
        <v>1</v>
      </c>
      <c r="R243" s="15">
        <v>3</v>
      </c>
      <c r="S243" s="15">
        <v>4</v>
      </c>
      <c r="T243" s="15">
        <v>0</v>
      </c>
      <c r="U243" s="75" t="s">
        <v>240</v>
      </c>
      <c r="V243" s="17">
        <v>1</v>
      </c>
    </row>
    <row r="244" spans="1:22">
      <c r="A244" s="54" t="s">
        <v>206</v>
      </c>
      <c r="B244" s="54" t="s">
        <v>137</v>
      </c>
      <c r="C244" s="54" t="s">
        <v>241</v>
      </c>
      <c r="D244" s="35" t="s">
        <v>42</v>
      </c>
      <c r="E244" s="59">
        <v>95.1</v>
      </c>
      <c r="F244" s="59">
        <v>97</v>
      </c>
      <c r="G244" s="59">
        <v>90.1</v>
      </c>
      <c r="H244" s="59">
        <v>91.8</v>
      </c>
      <c r="I244" s="59">
        <v>94.55</v>
      </c>
      <c r="J244" s="14">
        <f t="shared" si="3"/>
        <v>93.710000000000008</v>
      </c>
      <c r="K244" s="51">
        <v>169</v>
      </c>
      <c r="L244" s="51">
        <v>75</v>
      </c>
      <c r="M244" s="51">
        <v>75</v>
      </c>
      <c r="N244" s="14">
        <f>IF(ROUNDUP(IF(K244 &gt; 132, K244 / 40, K244 / 36), 0) &gt;= 7, 6, ROUNDUP(IF(K244 &gt; 132, K244 / 40, K244 / 36), 0))</f>
        <v>5</v>
      </c>
      <c r="O244" s="28">
        <f>L244*K244</f>
        <v>12675</v>
      </c>
      <c r="P244" s="28">
        <f>K244*M244</f>
        <v>12675</v>
      </c>
      <c r="Q244" s="15">
        <v>1</v>
      </c>
      <c r="R244" s="15">
        <v>3</v>
      </c>
      <c r="S244" s="15">
        <v>3</v>
      </c>
      <c r="T244" s="15">
        <v>1</v>
      </c>
      <c r="U244" s="75" t="s">
        <v>242</v>
      </c>
      <c r="V244" s="15">
        <v>1</v>
      </c>
    </row>
    <row r="245" spans="1:22">
      <c r="A245" s="54" t="s">
        <v>206</v>
      </c>
      <c r="B245" s="54" t="s">
        <v>137</v>
      </c>
      <c r="C245" s="54" t="s">
        <v>243</v>
      </c>
      <c r="D245" s="35" t="s">
        <v>42</v>
      </c>
      <c r="E245" s="59">
        <v>92.6</v>
      </c>
      <c r="F245" s="59">
        <v>96</v>
      </c>
      <c r="G245" s="59">
        <v>84.6</v>
      </c>
      <c r="H245" s="59">
        <v>88.3</v>
      </c>
      <c r="I245" s="59">
        <v>89.6</v>
      </c>
      <c r="J245" s="14">
        <f t="shared" si="3"/>
        <v>90.22</v>
      </c>
      <c r="K245" s="51">
        <v>160</v>
      </c>
      <c r="L245" s="51">
        <v>75</v>
      </c>
      <c r="M245" s="51">
        <v>75</v>
      </c>
      <c r="N245" s="14">
        <f>IF(ROUNDUP(IF(K245 &gt; 132, K245 / 40, K245 / 36), 0) &gt;= 7, 6, ROUNDUP(IF(K245 &gt; 132, K245 / 40, K245 / 36), 0))</f>
        <v>4</v>
      </c>
      <c r="O245" s="28">
        <f>L245*K245</f>
        <v>12000</v>
      </c>
      <c r="P245" s="28">
        <f>K245*M245</f>
        <v>12000</v>
      </c>
      <c r="Q245" s="15">
        <v>1</v>
      </c>
      <c r="R245" s="15">
        <v>3</v>
      </c>
      <c r="S245" s="15">
        <v>3</v>
      </c>
      <c r="T245" s="15">
        <v>1</v>
      </c>
      <c r="U245" s="75" t="s">
        <v>244</v>
      </c>
      <c r="V245" s="17">
        <v>1</v>
      </c>
    </row>
    <row r="246" spans="1:22">
      <c r="A246" s="54" t="s">
        <v>206</v>
      </c>
      <c r="B246" s="54" t="s">
        <v>137</v>
      </c>
      <c r="C246" s="54" t="s">
        <v>245</v>
      </c>
      <c r="D246" s="35" t="s">
        <v>42</v>
      </c>
      <c r="E246" s="59">
        <v>92.6</v>
      </c>
      <c r="F246" s="59">
        <v>95.2</v>
      </c>
      <c r="G246" s="59">
        <v>82.15</v>
      </c>
      <c r="H246" s="59">
        <v>87.25</v>
      </c>
      <c r="I246" s="59">
        <v>89.9</v>
      </c>
      <c r="J246" s="14">
        <f t="shared" si="3"/>
        <v>89.42</v>
      </c>
      <c r="K246" s="51">
        <v>160</v>
      </c>
      <c r="L246" s="51">
        <v>75</v>
      </c>
      <c r="M246" s="51">
        <v>75</v>
      </c>
      <c r="N246" s="14">
        <f>IF(ROUNDUP(IF(K246 &gt; 132, K246 / 40, K246 / 36), 0) &gt;= 7, 6, ROUNDUP(IF(K246 &gt; 132, K246 / 40, K246 / 36), 0))</f>
        <v>4</v>
      </c>
      <c r="O246" s="28">
        <f>L246*K246</f>
        <v>12000</v>
      </c>
      <c r="P246" s="28">
        <f>K246*M246</f>
        <v>12000</v>
      </c>
      <c r="Q246" s="15">
        <v>1</v>
      </c>
      <c r="R246" s="15">
        <v>3</v>
      </c>
      <c r="S246" s="15">
        <v>4</v>
      </c>
      <c r="T246" s="15">
        <v>1</v>
      </c>
      <c r="U246" s="75" t="s">
        <v>246</v>
      </c>
      <c r="V246" s="17">
        <v>1</v>
      </c>
    </row>
    <row r="247" spans="1:22">
      <c r="A247" s="54" t="s">
        <v>206</v>
      </c>
      <c r="B247" s="54" t="s">
        <v>137</v>
      </c>
      <c r="C247" s="55" t="s">
        <v>69</v>
      </c>
      <c r="D247" s="54" t="s">
        <v>59</v>
      </c>
      <c r="E247" s="60">
        <v>86.1</v>
      </c>
      <c r="F247" s="60">
        <v>92.4</v>
      </c>
      <c r="G247" s="60">
        <v>87</v>
      </c>
      <c r="H247" s="60">
        <v>92.95</v>
      </c>
      <c r="I247" s="60">
        <v>95.05</v>
      </c>
      <c r="J247" s="14">
        <f t="shared" si="3"/>
        <v>90.7</v>
      </c>
      <c r="K247" s="51">
        <v>132</v>
      </c>
      <c r="L247" s="51">
        <v>75</v>
      </c>
      <c r="M247" s="51">
        <v>75</v>
      </c>
      <c r="N247" s="14">
        <f>IF(ROUNDUP(IF(K247 &gt; 132, K247 / 40, K247 / 36), 0) &gt;= 7, 6, ROUNDUP(IF(K247 &gt; 132, K247 / 40, K247 / 36), 0))</f>
        <v>4</v>
      </c>
      <c r="O247" s="28">
        <f>L247*K247</f>
        <v>9900</v>
      </c>
      <c r="P247" s="28">
        <f>K247*M247</f>
        <v>9900</v>
      </c>
      <c r="Q247" s="15">
        <v>1</v>
      </c>
      <c r="R247" s="15">
        <v>3</v>
      </c>
      <c r="S247" s="15">
        <v>3</v>
      </c>
      <c r="T247" s="15">
        <v>2</v>
      </c>
      <c r="U247" s="75" t="s">
        <v>247</v>
      </c>
      <c r="V247" s="17">
        <v>1</v>
      </c>
    </row>
    <row r="248" spans="1:22">
      <c r="A248" s="54" t="s">
        <v>206</v>
      </c>
      <c r="B248" s="26" t="s">
        <v>137</v>
      </c>
      <c r="C248" s="55" t="s">
        <v>77</v>
      </c>
      <c r="D248" s="54" t="s">
        <v>59</v>
      </c>
      <c r="E248" s="60">
        <v>88.1</v>
      </c>
      <c r="F248" s="60">
        <v>94.2</v>
      </c>
      <c r="G248" s="60">
        <v>85.65</v>
      </c>
      <c r="H248" s="60">
        <v>92.1</v>
      </c>
      <c r="I248" s="60">
        <v>93.65</v>
      </c>
      <c r="J248" s="14">
        <f t="shared" si="3"/>
        <v>90.740000000000009</v>
      </c>
      <c r="K248" s="51">
        <v>132</v>
      </c>
      <c r="L248" s="51">
        <v>75</v>
      </c>
      <c r="M248" s="51">
        <v>75</v>
      </c>
      <c r="N248" s="14">
        <f>IF(ROUNDUP(IF(K248 &gt; 132, K248 / 40, K248 / 36), 0) &gt;= 7, 6, ROUNDUP(IF(K248 &gt; 132, K248 / 40, K248 / 36), 0))</f>
        <v>4</v>
      </c>
      <c r="O248" s="28">
        <f>L248*K248</f>
        <v>9900</v>
      </c>
      <c r="P248" s="28">
        <f>K248*M248</f>
        <v>9900</v>
      </c>
      <c r="Q248" s="15">
        <v>1</v>
      </c>
      <c r="R248" s="15">
        <v>3</v>
      </c>
      <c r="S248" s="15">
        <v>3</v>
      </c>
      <c r="T248" s="15">
        <v>2</v>
      </c>
      <c r="U248" s="75" t="s">
        <v>248</v>
      </c>
      <c r="V248" s="17">
        <v>1</v>
      </c>
    </row>
    <row r="249" spans="1:22">
      <c r="A249" s="54" t="s">
        <v>206</v>
      </c>
      <c r="B249" s="54" t="s">
        <v>137</v>
      </c>
      <c r="C249" s="55" t="s">
        <v>249</v>
      </c>
      <c r="D249" s="54" t="s">
        <v>59</v>
      </c>
      <c r="E249" s="60">
        <v>90.73</v>
      </c>
      <c r="F249" s="60">
        <v>86.65</v>
      </c>
      <c r="G249" s="60">
        <v>92</v>
      </c>
      <c r="H249" s="60">
        <v>93.55</v>
      </c>
      <c r="I249" s="60">
        <v>90.73</v>
      </c>
      <c r="J249" s="14">
        <f t="shared" si="3"/>
        <v>90.731999999999999</v>
      </c>
      <c r="K249" s="51">
        <v>132</v>
      </c>
      <c r="L249" s="51">
        <v>80</v>
      </c>
      <c r="M249" s="51">
        <v>80</v>
      </c>
      <c r="N249" s="14">
        <f>IF(ROUNDUP(IF(K249 &gt; 132, K249 / 40, K249 / 36), 0) &gt;= 7, 6, ROUNDUP(IF(K249 &gt; 132, K249 / 40, K249 / 36), 0))</f>
        <v>4</v>
      </c>
      <c r="O249" s="28">
        <f>L249*K249</f>
        <v>10560</v>
      </c>
      <c r="P249" s="28">
        <f>K249*M249</f>
        <v>10560</v>
      </c>
      <c r="Q249" s="15">
        <v>1</v>
      </c>
      <c r="R249" s="15">
        <v>3</v>
      </c>
      <c r="S249" s="15">
        <v>3</v>
      </c>
      <c r="T249" s="15">
        <v>2</v>
      </c>
      <c r="U249" s="75" t="s">
        <v>250</v>
      </c>
      <c r="V249" s="17">
        <v>1</v>
      </c>
    </row>
    <row r="250" spans="1:22">
      <c r="A250" s="54" t="s">
        <v>206</v>
      </c>
      <c r="B250" s="54" t="s">
        <v>137</v>
      </c>
      <c r="C250" s="55" t="s">
        <v>71</v>
      </c>
      <c r="D250" s="54" t="s">
        <v>59</v>
      </c>
      <c r="E250" s="60">
        <v>85.45</v>
      </c>
      <c r="F250" s="57">
        <v>88.92</v>
      </c>
      <c r="G250" s="60">
        <v>88.92</v>
      </c>
      <c r="H250" s="60">
        <v>92.4</v>
      </c>
      <c r="I250" s="57">
        <v>88.92</v>
      </c>
      <c r="J250" s="14">
        <f t="shared" si="3"/>
        <v>88.922000000000011</v>
      </c>
      <c r="K250" s="51">
        <v>132</v>
      </c>
      <c r="L250" s="51">
        <v>100</v>
      </c>
      <c r="M250" s="51">
        <v>100</v>
      </c>
      <c r="N250" s="14">
        <f>IF(ROUNDUP(IF(K250 &gt; 132, K250 / 40, K250 / 36), 0) &gt;= 7, 6, ROUNDUP(IF(K250 &gt; 132, K250 / 40, K250 / 36), 0))</f>
        <v>4</v>
      </c>
      <c r="O250" s="28">
        <f>L250*K250</f>
        <v>13200</v>
      </c>
      <c r="P250" s="28">
        <f>K250*M250</f>
        <v>13200</v>
      </c>
      <c r="Q250" s="15">
        <v>1</v>
      </c>
      <c r="R250" s="15">
        <v>3</v>
      </c>
      <c r="S250" s="15">
        <v>4</v>
      </c>
      <c r="T250" s="15">
        <v>2</v>
      </c>
      <c r="U250" s="75" t="s">
        <v>251</v>
      </c>
      <c r="V250" s="17">
        <v>1</v>
      </c>
    </row>
    <row r="251" spans="1:22">
      <c r="A251" s="30" t="s">
        <v>206</v>
      </c>
      <c r="B251" s="54" t="s">
        <v>137</v>
      </c>
      <c r="C251" s="55" t="s">
        <v>252</v>
      </c>
      <c r="D251" s="54" t="s">
        <v>59</v>
      </c>
      <c r="E251" s="15">
        <v>92.4</v>
      </c>
      <c r="F251" s="15">
        <v>92.4</v>
      </c>
      <c r="G251" s="59">
        <v>90.25</v>
      </c>
      <c r="H251" s="59">
        <v>94.55</v>
      </c>
      <c r="I251" s="15">
        <v>92.4</v>
      </c>
      <c r="J251" s="14">
        <f t="shared" si="3"/>
        <v>92.4</v>
      </c>
      <c r="K251" s="51">
        <v>132</v>
      </c>
      <c r="L251" s="51">
        <v>100</v>
      </c>
      <c r="M251" s="51">
        <v>100</v>
      </c>
      <c r="N251" s="14">
        <f>IF(ROUNDUP(IF(K251 &gt; 132, K251 / 40, K251 / 36), 0) &gt;= 7, 6, ROUNDUP(IF(K251 &gt; 132, K251 / 40, K251 / 36), 0))</f>
        <v>4</v>
      </c>
      <c r="O251" s="28">
        <f>L251*K251</f>
        <v>13200</v>
      </c>
      <c r="P251" s="28">
        <f>K251*M251</f>
        <v>13200</v>
      </c>
      <c r="Q251" s="15">
        <v>1</v>
      </c>
      <c r="R251" s="15">
        <v>3</v>
      </c>
      <c r="S251" s="15">
        <v>4</v>
      </c>
      <c r="T251" s="15">
        <v>2</v>
      </c>
      <c r="U251" s="75" t="s">
        <v>253</v>
      </c>
      <c r="V251" s="15">
        <v>1</v>
      </c>
    </row>
    <row r="252" spans="1:22">
      <c r="A252" s="54" t="s">
        <v>206</v>
      </c>
      <c r="B252" s="54" t="s">
        <v>137</v>
      </c>
      <c r="C252" s="55" t="s">
        <v>67</v>
      </c>
      <c r="D252" s="54" t="s">
        <v>59</v>
      </c>
      <c r="E252" s="59">
        <v>85.5</v>
      </c>
      <c r="F252" s="59">
        <v>93.6</v>
      </c>
      <c r="G252" s="59">
        <v>82.3</v>
      </c>
      <c r="H252" s="59">
        <v>83.15</v>
      </c>
      <c r="I252" s="59">
        <v>89.75</v>
      </c>
      <c r="J252" s="14">
        <f t="shared" si="3"/>
        <v>86.859999999999985</v>
      </c>
      <c r="K252" s="51">
        <v>132</v>
      </c>
      <c r="L252" s="51">
        <v>40</v>
      </c>
      <c r="M252" s="51">
        <v>50</v>
      </c>
      <c r="N252" s="14">
        <f>IF(ROUNDUP(IF(K252 &gt; 132, K252 / 40, K252 / 36), 0) &gt;= 7, 6, ROUNDUP(IF(K252 &gt; 132, K252 / 40, K252 / 36), 0))</f>
        <v>4</v>
      </c>
      <c r="O252" s="28">
        <f>L252*K252</f>
        <v>5280</v>
      </c>
      <c r="P252" s="28">
        <f>K252*M252</f>
        <v>6600</v>
      </c>
      <c r="Q252" s="15">
        <v>0</v>
      </c>
      <c r="R252" s="15">
        <v>1</v>
      </c>
      <c r="S252" s="15">
        <v>4</v>
      </c>
      <c r="T252" s="15">
        <v>1</v>
      </c>
      <c r="U252" s="75" t="s">
        <v>254</v>
      </c>
      <c r="V252" s="17">
        <v>1</v>
      </c>
    </row>
    <row r="253" spans="1:22">
      <c r="A253" s="54" t="s">
        <v>206</v>
      </c>
      <c r="B253" s="54" t="s">
        <v>137</v>
      </c>
      <c r="C253" s="55" t="s">
        <v>63</v>
      </c>
      <c r="D253" s="54" t="s">
        <v>59</v>
      </c>
      <c r="E253" s="59">
        <v>81.099999999999994</v>
      </c>
      <c r="F253" s="59">
        <v>92</v>
      </c>
      <c r="G253" s="59">
        <v>78.349999999999994</v>
      </c>
      <c r="H253" s="59">
        <v>79.55</v>
      </c>
      <c r="I253" s="59">
        <v>87.87</v>
      </c>
      <c r="J253" s="14">
        <f t="shared" si="3"/>
        <v>83.774000000000001</v>
      </c>
      <c r="K253" s="51">
        <v>132</v>
      </c>
      <c r="L253" s="51">
        <v>40</v>
      </c>
      <c r="M253" s="51">
        <v>40</v>
      </c>
      <c r="N253" s="14">
        <f>IF(ROUNDUP(IF(K253 &gt; 132, K253 / 40, K253 / 36), 0) &gt;= 7, 6, ROUNDUP(IF(K253 &gt; 132, K253 / 40, K253 / 36), 0))</f>
        <v>4</v>
      </c>
      <c r="O253" s="28">
        <f>L253*K253</f>
        <v>5280</v>
      </c>
      <c r="P253" s="28">
        <f>K253*M253</f>
        <v>5280</v>
      </c>
      <c r="Q253" s="15">
        <v>1</v>
      </c>
      <c r="R253" s="15">
        <v>2</v>
      </c>
      <c r="S253" s="15">
        <v>4</v>
      </c>
      <c r="T253" s="15">
        <v>0</v>
      </c>
      <c r="U253" s="75" t="s">
        <v>255</v>
      </c>
      <c r="V253" s="17">
        <v>1</v>
      </c>
    </row>
    <row r="254" spans="1:22">
      <c r="A254" s="54" t="s">
        <v>206</v>
      </c>
      <c r="B254" s="54" t="s">
        <v>137</v>
      </c>
      <c r="C254" s="55" t="s">
        <v>61</v>
      </c>
      <c r="D254" s="54" t="s">
        <v>59</v>
      </c>
      <c r="E254" s="59">
        <v>87.9</v>
      </c>
      <c r="F254" s="59">
        <v>92.8</v>
      </c>
      <c r="G254" s="59">
        <v>81.2</v>
      </c>
      <c r="H254" s="59">
        <v>84.05</v>
      </c>
      <c r="I254" s="59">
        <v>89.6</v>
      </c>
      <c r="J254" s="14">
        <f t="shared" si="3"/>
        <v>87.109999999999985</v>
      </c>
      <c r="K254" s="51">
        <v>132</v>
      </c>
      <c r="L254" s="51">
        <v>40</v>
      </c>
      <c r="M254" s="51">
        <v>40</v>
      </c>
      <c r="N254" s="14">
        <f>IF(ROUNDUP(IF(K254 &gt; 132, K254 / 40, K254 / 36), 0) &gt;= 7, 6, ROUNDUP(IF(K254 &gt; 132, K254 / 40, K254 / 36), 0))</f>
        <v>4</v>
      </c>
      <c r="O254" s="28">
        <f>L254*K254</f>
        <v>5280</v>
      </c>
      <c r="P254" s="28">
        <f>K254*M254</f>
        <v>5280</v>
      </c>
      <c r="Q254" s="15">
        <v>1</v>
      </c>
      <c r="R254" s="15">
        <v>3</v>
      </c>
      <c r="S254" s="15">
        <v>3</v>
      </c>
      <c r="T254" s="15">
        <v>1</v>
      </c>
      <c r="U254" s="75" t="s">
        <v>256</v>
      </c>
      <c r="V254" s="17">
        <v>1</v>
      </c>
    </row>
    <row r="255" spans="1:22">
      <c r="A255" s="54" t="s">
        <v>206</v>
      </c>
      <c r="B255" s="30" t="s">
        <v>137</v>
      </c>
      <c r="C255" s="56" t="s">
        <v>257</v>
      </c>
      <c r="D255" s="54" t="s">
        <v>59</v>
      </c>
      <c r="E255" s="59">
        <v>89.2</v>
      </c>
      <c r="F255" s="59">
        <v>93.9</v>
      </c>
      <c r="G255" s="59">
        <v>87.3</v>
      </c>
      <c r="H255" s="59">
        <v>89.3</v>
      </c>
      <c r="I255" s="59">
        <v>93.27</v>
      </c>
      <c r="J255" s="14">
        <f t="shared" si="3"/>
        <v>90.594000000000008</v>
      </c>
      <c r="K255" s="51">
        <v>132</v>
      </c>
      <c r="L255" s="51">
        <v>50</v>
      </c>
      <c r="M255" s="51">
        <v>50</v>
      </c>
      <c r="N255" s="14">
        <f>IF(ROUNDUP(IF(K255 &gt; 132, K255 / 40, K255 / 36), 0) &gt;= 7, 6, ROUNDUP(IF(K255 &gt; 132, K255 / 40, K255 / 36), 0))</f>
        <v>4</v>
      </c>
      <c r="O255" s="28">
        <f>L255*K255</f>
        <v>6600</v>
      </c>
      <c r="P255" s="28">
        <f>K255*M255</f>
        <v>6600</v>
      </c>
      <c r="Q255" s="15">
        <v>1</v>
      </c>
      <c r="R255" s="15">
        <v>3</v>
      </c>
      <c r="S255" s="15">
        <v>4</v>
      </c>
      <c r="T255" s="15">
        <v>1</v>
      </c>
      <c r="U255" s="75" t="s">
        <v>258</v>
      </c>
      <c r="V255" s="17">
        <v>1</v>
      </c>
    </row>
    <row r="256" spans="1:22">
      <c r="A256" s="54" t="s">
        <v>206</v>
      </c>
      <c r="B256" s="54" t="s">
        <v>137</v>
      </c>
      <c r="C256" s="55" t="s">
        <v>259</v>
      </c>
      <c r="D256" s="54" t="s">
        <v>59</v>
      </c>
      <c r="E256" s="59">
        <v>80.400000000000006</v>
      </c>
      <c r="F256" s="59">
        <v>91.2</v>
      </c>
      <c r="G256" s="59">
        <v>81.3</v>
      </c>
      <c r="H256" s="59">
        <v>79.599999999999994</v>
      </c>
      <c r="I256" s="59">
        <v>91.05</v>
      </c>
      <c r="J256" s="14">
        <f t="shared" si="3"/>
        <v>84.710000000000008</v>
      </c>
      <c r="K256" s="51">
        <v>132</v>
      </c>
      <c r="L256" s="51">
        <v>40</v>
      </c>
      <c r="M256" s="51">
        <v>40</v>
      </c>
      <c r="N256" s="14">
        <f>IF(ROUNDUP(IF(K256 &gt; 132, K256 / 40, K256 / 36), 0) &gt;= 7, 6, ROUNDUP(IF(K256 &gt; 132, K256 / 40, K256 / 36), 0))</f>
        <v>4</v>
      </c>
      <c r="O256" s="28">
        <f>L256*K256</f>
        <v>5280</v>
      </c>
      <c r="P256" s="28">
        <f>K256*M256</f>
        <v>5280</v>
      </c>
      <c r="Q256" s="15">
        <v>1</v>
      </c>
      <c r="R256" s="15">
        <v>3</v>
      </c>
      <c r="S256" s="15">
        <v>2</v>
      </c>
      <c r="T256" s="15">
        <v>1</v>
      </c>
      <c r="U256" t="s">
        <v>260</v>
      </c>
      <c r="V256" s="17">
        <v>1</v>
      </c>
    </row>
    <row r="257" spans="1:22">
      <c r="A257" s="54" t="s">
        <v>206</v>
      </c>
      <c r="B257" s="54" t="s">
        <v>137</v>
      </c>
      <c r="C257" s="55" t="s">
        <v>81</v>
      </c>
      <c r="D257" s="54" t="s">
        <v>59</v>
      </c>
      <c r="E257" s="59">
        <v>78.7</v>
      </c>
      <c r="F257" s="59">
        <v>89.4</v>
      </c>
      <c r="G257" s="59">
        <v>81.45</v>
      </c>
      <c r="H257" s="59">
        <v>79.650000000000006</v>
      </c>
      <c r="I257" s="59">
        <v>91</v>
      </c>
      <c r="J257" s="14">
        <f t="shared" si="3"/>
        <v>84.04</v>
      </c>
      <c r="K257" s="51">
        <v>132</v>
      </c>
      <c r="L257" s="51">
        <v>40</v>
      </c>
      <c r="M257" s="51">
        <v>40</v>
      </c>
      <c r="N257" s="14">
        <f>IF(ROUNDUP(IF(K257 &gt; 132, K257 / 40, K257 / 36), 0) &gt;= 7, 6, ROUNDUP(IF(K257 &gt; 132, K257 / 40, K257 / 36), 0))</f>
        <v>4</v>
      </c>
      <c r="O257" s="28">
        <f>L257*K257</f>
        <v>5280</v>
      </c>
      <c r="P257" s="28">
        <f>K257*M257</f>
        <v>5280</v>
      </c>
      <c r="Q257" s="15">
        <v>1</v>
      </c>
      <c r="R257" s="15">
        <v>3</v>
      </c>
      <c r="S257" s="15">
        <v>2</v>
      </c>
      <c r="T257" s="15">
        <v>1</v>
      </c>
      <c r="U257" s="75" t="s">
        <v>261</v>
      </c>
      <c r="V257" s="17">
        <v>1</v>
      </c>
    </row>
    <row r="258" spans="1:22">
      <c r="A258" s="54" t="s">
        <v>206</v>
      </c>
      <c r="B258" s="54" t="s">
        <v>137</v>
      </c>
      <c r="C258" s="55" t="s">
        <v>262</v>
      </c>
      <c r="D258" s="54" t="s">
        <v>59</v>
      </c>
      <c r="E258" s="59">
        <v>76.400000000000006</v>
      </c>
      <c r="F258" s="59">
        <v>88.2</v>
      </c>
      <c r="G258" s="59">
        <v>78.05</v>
      </c>
      <c r="H258" s="59">
        <v>77.55</v>
      </c>
      <c r="I258" s="59">
        <v>86.5</v>
      </c>
      <c r="J258" s="14">
        <f t="shared" si="3"/>
        <v>81.34</v>
      </c>
      <c r="K258" s="51">
        <v>132</v>
      </c>
      <c r="L258" s="51">
        <v>40</v>
      </c>
      <c r="M258" s="51">
        <v>40</v>
      </c>
      <c r="N258" s="14">
        <f>IF(ROUNDUP(IF(K258 &gt; 132, K258 / 40, K258 / 36), 0) &gt;= 7, 6, ROUNDUP(IF(K258 &gt; 132, K258 / 40, K258 / 36), 0))</f>
        <v>4</v>
      </c>
      <c r="O258" s="28">
        <f>L258*K258</f>
        <v>5280</v>
      </c>
      <c r="P258" s="28">
        <f>K258*M258</f>
        <v>5280</v>
      </c>
      <c r="Q258" s="15">
        <v>1</v>
      </c>
      <c r="R258" s="15">
        <v>3</v>
      </c>
      <c r="S258" s="15">
        <v>3</v>
      </c>
      <c r="T258" s="15">
        <v>1</v>
      </c>
      <c r="U258" s="75" t="s">
        <v>263</v>
      </c>
      <c r="V258" s="15">
        <v>1</v>
      </c>
    </row>
    <row r="259" spans="1:22">
      <c r="A259" s="54" t="s">
        <v>206</v>
      </c>
      <c r="B259" s="54" t="s">
        <v>137</v>
      </c>
      <c r="C259" s="54" t="s">
        <v>264</v>
      </c>
      <c r="D259" s="54" t="s">
        <v>88</v>
      </c>
      <c r="E259" s="59">
        <v>93.2</v>
      </c>
      <c r="F259" s="59">
        <v>97.2</v>
      </c>
      <c r="G259" s="59">
        <v>94.85</v>
      </c>
      <c r="H259" s="59">
        <v>92.9</v>
      </c>
      <c r="I259" s="59">
        <v>95.75</v>
      </c>
      <c r="J259" s="14">
        <f t="shared" ref="J259:J322" si="4">AVERAGE(E259:I259)</f>
        <v>94.78</v>
      </c>
      <c r="K259" s="51">
        <v>133</v>
      </c>
      <c r="L259" s="51">
        <v>50</v>
      </c>
      <c r="M259" s="51">
        <v>110</v>
      </c>
      <c r="N259" s="14">
        <f>IF(ROUNDUP(IF(K259 &gt; 132, K259 / 40, K259 / 36), 0) &gt;= 7, 6, ROUNDUP(IF(K259 &gt; 132, K259 / 40, K259 / 36), 0))</f>
        <v>4</v>
      </c>
      <c r="O259" s="28">
        <f>L259*K259</f>
        <v>6650</v>
      </c>
      <c r="P259" s="28">
        <f>K259*M259</f>
        <v>14630</v>
      </c>
      <c r="Q259" s="15">
        <v>0</v>
      </c>
      <c r="R259" s="15">
        <v>1</v>
      </c>
      <c r="S259" s="15">
        <v>2</v>
      </c>
      <c r="T259" s="15">
        <v>1</v>
      </c>
      <c r="U259" s="75" t="s">
        <v>265</v>
      </c>
      <c r="V259" s="17">
        <v>1</v>
      </c>
    </row>
    <row r="260" spans="1:22">
      <c r="A260" s="54" t="s">
        <v>266</v>
      </c>
      <c r="B260" s="54" t="s">
        <v>267</v>
      </c>
      <c r="C260" s="55" t="s">
        <v>268</v>
      </c>
      <c r="D260" s="54" t="s">
        <v>25</v>
      </c>
      <c r="E260" s="59">
        <v>78</v>
      </c>
      <c r="F260" s="59">
        <v>89.6</v>
      </c>
      <c r="G260" s="59">
        <v>79.900000000000006</v>
      </c>
      <c r="H260" s="59">
        <v>82.6</v>
      </c>
      <c r="I260" s="59">
        <v>83</v>
      </c>
      <c r="J260" s="14">
        <f t="shared" si="4"/>
        <v>82.62</v>
      </c>
      <c r="K260" s="51">
        <v>136</v>
      </c>
      <c r="L260" s="51">
        <v>43</v>
      </c>
      <c r="M260" s="51">
        <v>75</v>
      </c>
      <c r="N260" s="14">
        <f>IF(ROUNDUP(IF(K260 &gt; 132, K260 / 40, K260 / 36), 0) &gt;= 7, 6, ROUNDUP(IF(K260 &gt; 132, K260 / 40, K260 / 36), 0))</f>
        <v>4</v>
      </c>
      <c r="O260" s="28">
        <f>L260*K260</f>
        <v>5848</v>
      </c>
      <c r="P260" s="28">
        <f>K260*M260</f>
        <v>10200</v>
      </c>
      <c r="Q260" s="15">
        <v>1</v>
      </c>
      <c r="R260" s="15">
        <v>4</v>
      </c>
      <c r="S260" s="15">
        <v>3</v>
      </c>
      <c r="T260" s="15">
        <v>2</v>
      </c>
      <c r="U260" s="75" t="s">
        <v>269</v>
      </c>
      <c r="V260" s="17">
        <v>1</v>
      </c>
    </row>
    <row r="261" spans="1:22">
      <c r="A261" s="54" t="s">
        <v>266</v>
      </c>
      <c r="B261" s="54" t="s">
        <v>267</v>
      </c>
      <c r="C261" s="55" t="s">
        <v>270</v>
      </c>
      <c r="D261" s="35" t="s">
        <v>42</v>
      </c>
      <c r="E261" s="59">
        <v>80</v>
      </c>
      <c r="F261" s="59">
        <v>80.2</v>
      </c>
      <c r="G261" s="59">
        <v>80.7</v>
      </c>
      <c r="H261" s="15">
        <v>80.53</v>
      </c>
      <c r="I261" s="59">
        <v>81.25</v>
      </c>
      <c r="J261" s="14">
        <f t="shared" si="4"/>
        <v>80.535999999999987</v>
      </c>
      <c r="K261" s="51">
        <v>160</v>
      </c>
      <c r="L261" s="51">
        <v>43</v>
      </c>
      <c r="M261" s="51">
        <v>75</v>
      </c>
      <c r="N261" s="14">
        <f>IF(ROUNDUP(IF(K261 &gt; 132, K261 / 40, K261 / 36), 0) &gt;= 7, 6, ROUNDUP(IF(K261 &gt; 132, K261 / 40, K261 / 36), 0))</f>
        <v>4</v>
      </c>
      <c r="O261" s="28">
        <f>L261*K261</f>
        <v>6880</v>
      </c>
      <c r="P261" s="28">
        <f>K261*M261</f>
        <v>12000</v>
      </c>
      <c r="Q261" s="15">
        <v>1</v>
      </c>
      <c r="R261" s="15">
        <v>3</v>
      </c>
      <c r="S261" s="15">
        <v>3</v>
      </c>
      <c r="T261" s="15">
        <v>1</v>
      </c>
      <c r="U261" s="75" t="s">
        <v>271</v>
      </c>
      <c r="V261" s="17">
        <v>1</v>
      </c>
    </row>
    <row r="262" spans="1:22">
      <c r="A262" s="54" t="s">
        <v>266</v>
      </c>
      <c r="B262" s="54" t="s">
        <v>267</v>
      </c>
      <c r="C262" s="55" t="s">
        <v>272</v>
      </c>
      <c r="D262" s="35" t="s">
        <v>42</v>
      </c>
      <c r="E262" s="59">
        <v>80</v>
      </c>
      <c r="F262" s="59">
        <v>80.099999999999994</v>
      </c>
      <c r="G262" s="59">
        <v>82.4</v>
      </c>
      <c r="H262" s="15">
        <v>80.83</v>
      </c>
      <c r="I262" s="15">
        <v>80.83</v>
      </c>
      <c r="J262" s="14">
        <f t="shared" si="4"/>
        <v>80.831999999999994</v>
      </c>
      <c r="K262" s="51">
        <v>160</v>
      </c>
      <c r="L262" s="51">
        <v>43</v>
      </c>
      <c r="M262" s="51">
        <v>75</v>
      </c>
      <c r="N262" s="14">
        <f>IF(ROUNDUP(IF(K262 &gt; 132, K262 / 40, K262 / 36), 0) &gt;= 7, 6, ROUNDUP(IF(K262 &gt; 132, K262 / 40, K262 / 36), 0))</f>
        <v>4</v>
      </c>
      <c r="O262" s="28">
        <f>L262*K262</f>
        <v>6880</v>
      </c>
      <c r="P262" s="28">
        <f>K262*M262</f>
        <v>12000</v>
      </c>
      <c r="Q262" s="15">
        <v>1</v>
      </c>
      <c r="R262" s="15">
        <v>3</v>
      </c>
      <c r="S262" s="15">
        <v>4</v>
      </c>
      <c r="T262" s="15">
        <v>1</v>
      </c>
      <c r="U262" s="75" t="s">
        <v>273</v>
      </c>
      <c r="V262" s="15">
        <v>1</v>
      </c>
    </row>
    <row r="263" spans="1:22">
      <c r="A263" s="54" t="s">
        <v>266</v>
      </c>
      <c r="B263" s="54" t="s">
        <v>267</v>
      </c>
      <c r="C263" s="55" t="s">
        <v>52</v>
      </c>
      <c r="D263" s="35" t="s">
        <v>42</v>
      </c>
      <c r="E263" s="59">
        <v>80</v>
      </c>
      <c r="F263" s="59">
        <v>80</v>
      </c>
      <c r="G263" s="59">
        <v>80.099999999999994</v>
      </c>
      <c r="H263" s="59">
        <v>80.650000000000006</v>
      </c>
      <c r="I263" s="59">
        <v>80.349999999999994</v>
      </c>
      <c r="J263" s="14">
        <f t="shared" si="4"/>
        <v>80.22</v>
      </c>
      <c r="K263" s="51">
        <v>160</v>
      </c>
      <c r="L263" s="51">
        <v>43</v>
      </c>
      <c r="M263" s="51">
        <v>75</v>
      </c>
      <c r="N263" s="14">
        <f>IF(ROUNDUP(IF(K263 &gt; 132, K263 / 40, K263 / 36), 0) &gt;= 7, 6, ROUNDUP(IF(K263 &gt; 132, K263 / 40, K263 / 36), 0))</f>
        <v>4</v>
      </c>
      <c r="O263" s="28">
        <f>L263*K263</f>
        <v>6880</v>
      </c>
      <c r="P263" s="28">
        <f>K263*M263</f>
        <v>12000</v>
      </c>
      <c r="Q263" s="15">
        <v>1</v>
      </c>
      <c r="R263" s="15">
        <v>3</v>
      </c>
      <c r="S263" s="15">
        <v>3</v>
      </c>
      <c r="T263" s="15">
        <v>2</v>
      </c>
      <c r="U263" s="75" t="s">
        <v>274</v>
      </c>
      <c r="V263" s="17">
        <v>1</v>
      </c>
    </row>
    <row r="264" spans="1:22">
      <c r="A264" s="54" t="s">
        <v>266</v>
      </c>
      <c r="B264" s="54" t="s">
        <v>267</v>
      </c>
      <c r="C264" s="55" t="s">
        <v>275</v>
      </c>
      <c r="D264" s="35" t="s">
        <v>42</v>
      </c>
      <c r="E264" s="15">
        <v>82.21</v>
      </c>
      <c r="F264" s="59">
        <v>82.3</v>
      </c>
      <c r="G264" s="59">
        <v>80.5</v>
      </c>
      <c r="H264" s="59">
        <v>80</v>
      </c>
      <c r="I264" s="59">
        <v>86.05</v>
      </c>
      <c r="J264" s="14">
        <f t="shared" si="4"/>
        <v>82.212000000000003</v>
      </c>
      <c r="K264" s="51">
        <v>160</v>
      </c>
      <c r="L264" s="51">
        <v>43</v>
      </c>
      <c r="M264" s="51">
        <v>75</v>
      </c>
      <c r="N264" s="14">
        <f>IF(ROUNDUP(IF(K264 &gt; 132, K264 / 40, K264 / 36), 0) &gt;= 7, 6, ROUNDUP(IF(K264 &gt; 132, K264 / 40, K264 / 36), 0))</f>
        <v>4</v>
      </c>
      <c r="O264" s="28">
        <f>L264*K264</f>
        <v>6880</v>
      </c>
      <c r="P264" s="28">
        <f>K264*M264</f>
        <v>12000</v>
      </c>
      <c r="Q264" s="15">
        <v>1</v>
      </c>
      <c r="R264" s="15">
        <v>3</v>
      </c>
      <c r="S264" s="15">
        <v>3</v>
      </c>
      <c r="T264" s="15">
        <v>2</v>
      </c>
      <c r="U264" s="75" t="s">
        <v>276</v>
      </c>
      <c r="V264" s="17">
        <v>1</v>
      </c>
    </row>
    <row r="265" spans="1:22">
      <c r="A265" s="54" t="s">
        <v>266</v>
      </c>
      <c r="B265" s="54" t="s">
        <v>267</v>
      </c>
      <c r="C265" s="55" t="s">
        <v>277</v>
      </c>
      <c r="D265" s="35" t="s">
        <v>42</v>
      </c>
      <c r="E265" s="59">
        <v>80</v>
      </c>
      <c r="F265" s="59">
        <v>83.6</v>
      </c>
      <c r="G265" s="59">
        <v>80.650000000000006</v>
      </c>
      <c r="H265" s="59">
        <v>80</v>
      </c>
      <c r="I265" s="59">
        <v>80.099999999999994</v>
      </c>
      <c r="J265" s="14">
        <f t="shared" si="4"/>
        <v>80.87</v>
      </c>
      <c r="K265" s="51">
        <v>160</v>
      </c>
      <c r="L265" s="51">
        <v>43</v>
      </c>
      <c r="M265" s="51">
        <v>75</v>
      </c>
      <c r="N265" s="14">
        <f>IF(ROUNDUP(IF(K265 &gt; 132, K265 / 40, K265 / 36), 0) &gt;= 7, 6, ROUNDUP(IF(K265 &gt; 132, K265 / 40, K265 / 36), 0))</f>
        <v>4</v>
      </c>
      <c r="O265" s="28">
        <f>L265*K265</f>
        <v>6880</v>
      </c>
      <c r="P265" s="28">
        <f>K265*M265</f>
        <v>12000</v>
      </c>
      <c r="Q265" s="15">
        <v>1</v>
      </c>
      <c r="R265" s="15">
        <v>3</v>
      </c>
      <c r="S265" s="15">
        <v>4</v>
      </c>
      <c r="T265" s="15">
        <v>1</v>
      </c>
      <c r="U265" s="75" t="s">
        <v>278</v>
      </c>
      <c r="V265" s="17">
        <v>1</v>
      </c>
    </row>
    <row r="266" spans="1:22">
      <c r="A266" s="54" t="s">
        <v>266</v>
      </c>
      <c r="B266" s="54" t="s">
        <v>267</v>
      </c>
      <c r="C266" s="55" t="s">
        <v>279</v>
      </c>
      <c r="D266" s="35" t="s">
        <v>42</v>
      </c>
      <c r="E266" s="59">
        <v>80</v>
      </c>
      <c r="F266" s="59">
        <v>80</v>
      </c>
      <c r="G266" s="15">
        <v>81.099999999999994</v>
      </c>
      <c r="H266" s="59">
        <v>83.8</v>
      </c>
      <c r="I266" s="59">
        <v>80.599999999999994</v>
      </c>
      <c r="J266" s="14">
        <f t="shared" si="4"/>
        <v>81.099999999999994</v>
      </c>
      <c r="K266" s="51">
        <v>160</v>
      </c>
      <c r="L266" s="51">
        <v>43</v>
      </c>
      <c r="M266" s="51">
        <v>75</v>
      </c>
      <c r="N266" s="14">
        <f>IF(ROUNDUP(IF(K266 &gt; 132, K266 / 40, K266 / 36), 0) &gt;= 7, 6, ROUNDUP(IF(K266 &gt; 132, K266 / 40, K266 / 36), 0))</f>
        <v>4</v>
      </c>
      <c r="O266" s="28">
        <f>L266*K266</f>
        <v>6880</v>
      </c>
      <c r="P266" s="28">
        <f>K266*M266</f>
        <v>12000</v>
      </c>
      <c r="Q266" s="15">
        <v>1</v>
      </c>
      <c r="R266" s="15">
        <v>3</v>
      </c>
      <c r="S266" s="15">
        <v>4</v>
      </c>
      <c r="T266" s="15">
        <v>2</v>
      </c>
      <c r="U266" s="75" t="s">
        <v>280</v>
      </c>
      <c r="V266" s="17">
        <v>1</v>
      </c>
    </row>
    <row r="267" spans="1:22">
      <c r="A267" s="55" t="s">
        <v>266</v>
      </c>
      <c r="B267" s="26" t="s">
        <v>267</v>
      </c>
      <c r="C267" s="55" t="s">
        <v>243</v>
      </c>
      <c r="D267" s="35" t="s">
        <v>42</v>
      </c>
      <c r="E267" s="59">
        <v>80</v>
      </c>
      <c r="F267" s="59">
        <v>88.1</v>
      </c>
      <c r="G267" s="59">
        <v>80.05</v>
      </c>
      <c r="H267" s="59">
        <v>80.7</v>
      </c>
      <c r="I267" s="59">
        <v>80</v>
      </c>
      <c r="J267" s="14">
        <f t="shared" si="4"/>
        <v>81.77</v>
      </c>
      <c r="K267" s="51">
        <v>160</v>
      </c>
      <c r="L267" s="51">
        <v>43</v>
      </c>
      <c r="M267" s="51">
        <v>75</v>
      </c>
      <c r="N267" s="14">
        <f>IF(ROUNDUP(IF(K267 &gt; 132, K267 / 40, K267 / 36), 0) &gt;= 7, 6, ROUNDUP(IF(K267 &gt; 132, K267 / 40, K267 / 36), 0))</f>
        <v>4</v>
      </c>
      <c r="O267" s="28">
        <f>L267*K267</f>
        <v>6880</v>
      </c>
      <c r="P267" s="28">
        <f>K267*M267</f>
        <v>12000</v>
      </c>
      <c r="Q267" s="15">
        <v>1</v>
      </c>
      <c r="R267" s="15">
        <v>3</v>
      </c>
      <c r="S267" s="15">
        <v>3</v>
      </c>
      <c r="T267" s="15">
        <v>1</v>
      </c>
      <c r="U267" s="75" t="s">
        <v>281</v>
      </c>
      <c r="V267" s="17">
        <v>1</v>
      </c>
    </row>
    <row r="268" spans="1:22">
      <c r="A268" s="54" t="s">
        <v>266</v>
      </c>
      <c r="B268" s="54" t="s">
        <v>267</v>
      </c>
      <c r="C268" s="55" t="s">
        <v>230</v>
      </c>
      <c r="D268" s="35" t="s">
        <v>42</v>
      </c>
      <c r="E268" s="59">
        <v>80</v>
      </c>
      <c r="F268" s="59">
        <v>81.400000000000006</v>
      </c>
      <c r="G268" s="59">
        <v>80.3</v>
      </c>
      <c r="H268" s="59">
        <v>80.8</v>
      </c>
      <c r="I268" s="59">
        <v>80.2</v>
      </c>
      <c r="J268" s="14">
        <f t="shared" si="4"/>
        <v>80.539999999999992</v>
      </c>
      <c r="K268" s="51">
        <v>160</v>
      </c>
      <c r="L268" s="51">
        <v>43</v>
      </c>
      <c r="M268" s="51">
        <v>75</v>
      </c>
      <c r="N268" s="14">
        <f>IF(ROUNDUP(IF(K268 &gt; 132, K268 / 40, K268 / 36), 0) &gt;= 7, 6, ROUNDUP(IF(K268 &gt; 132, K268 / 40, K268 / 36), 0))</f>
        <v>4</v>
      </c>
      <c r="O268" s="28">
        <f>L268*K268</f>
        <v>6880</v>
      </c>
      <c r="P268" s="28">
        <f>K268*M268</f>
        <v>12000</v>
      </c>
      <c r="Q268" s="15">
        <v>1</v>
      </c>
      <c r="R268" s="15">
        <v>3</v>
      </c>
      <c r="S268" s="15">
        <v>4</v>
      </c>
      <c r="T268" s="15">
        <v>1</v>
      </c>
      <c r="U268" s="75" t="s">
        <v>282</v>
      </c>
      <c r="V268" s="17">
        <v>1</v>
      </c>
    </row>
    <row r="269" spans="1:22">
      <c r="A269" s="54" t="s">
        <v>266</v>
      </c>
      <c r="B269" s="54" t="s">
        <v>267</v>
      </c>
      <c r="C269" s="55" t="s">
        <v>283</v>
      </c>
      <c r="D269" s="35" t="s">
        <v>42</v>
      </c>
      <c r="E269" s="59">
        <v>80</v>
      </c>
      <c r="F269" s="59">
        <v>81.5</v>
      </c>
      <c r="G269" s="59">
        <v>80.25</v>
      </c>
      <c r="H269" s="59">
        <v>81.849999999999994</v>
      </c>
      <c r="I269" s="59">
        <v>80</v>
      </c>
      <c r="J269" s="14">
        <f t="shared" si="4"/>
        <v>80.72</v>
      </c>
      <c r="K269" s="51">
        <v>160</v>
      </c>
      <c r="L269" s="51">
        <v>43</v>
      </c>
      <c r="M269" s="51">
        <v>75</v>
      </c>
      <c r="N269" s="14">
        <f>IF(ROUNDUP(IF(K269 &gt; 132, K269 / 40, K269 / 36), 0) &gt;= 7, 6, ROUNDUP(IF(K269 &gt; 132, K269 / 40, K269 / 36), 0))</f>
        <v>4</v>
      </c>
      <c r="O269" s="28">
        <f>L269*K269</f>
        <v>6880</v>
      </c>
      <c r="P269" s="28">
        <f>K269*M269</f>
        <v>12000</v>
      </c>
      <c r="Q269" s="15">
        <v>1</v>
      </c>
      <c r="R269" s="15">
        <v>3</v>
      </c>
      <c r="S269" s="15">
        <v>4</v>
      </c>
      <c r="T269" s="15">
        <v>1</v>
      </c>
      <c r="U269" s="75" t="s">
        <v>246</v>
      </c>
      <c r="V269" s="15">
        <v>1</v>
      </c>
    </row>
    <row r="270" spans="1:22">
      <c r="A270" s="54" t="s">
        <v>266</v>
      </c>
      <c r="B270" s="54" t="s">
        <v>267</v>
      </c>
      <c r="C270" s="55" t="s">
        <v>154</v>
      </c>
      <c r="D270" s="35" t="s">
        <v>42</v>
      </c>
      <c r="E270" s="15">
        <v>82.21</v>
      </c>
      <c r="F270" s="15">
        <v>82.21</v>
      </c>
      <c r="G270" s="59">
        <v>80.25</v>
      </c>
      <c r="H270" s="59">
        <v>80.150000000000006</v>
      </c>
      <c r="I270" s="59">
        <v>86.25</v>
      </c>
      <c r="J270" s="14">
        <f t="shared" si="4"/>
        <v>82.213999999999999</v>
      </c>
      <c r="K270" s="51">
        <v>160</v>
      </c>
      <c r="L270" s="51">
        <v>43</v>
      </c>
      <c r="M270" s="51">
        <v>75</v>
      </c>
      <c r="N270" s="14">
        <f>IF(ROUNDUP(IF(K270 &gt; 132, K270 / 40, K270 / 36), 0) &gt;= 7, 6, ROUNDUP(IF(K270 &gt; 132, K270 / 40, K270 / 36), 0))</f>
        <v>4</v>
      </c>
      <c r="O270" s="28">
        <f>L270*K270</f>
        <v>6880</v>
      </c>
      <c r="P270" s="28">
        <f>K270*M270</f>
        <v>12000</v>
      </c>
      <c r="Q270" s="15">
        <v>1</v>
      </c>
      <c r="R270" s="15">
        <v>3</v>
      </c>
      <c r="S270" s="15">
        <v>3</v>
      </c>
      <c r="T270" s="15">
        <v>2</v>
      </c>
      <c r="U270" s="75" t="s">
        <v>284</v>
      </c>
      <c r="V270" s="17">
        <v>1</v>
      </c>
    </row>
    <row r="271" spans="1:22">
      <c r="A271" s="54" t="s">
        <v>266</v>
      </c>
      <c r="B271" s="54" t="s">
        <v>267</v>
      </c>
      <c r="C271" s="55" t="s">
        <v>285</v>
      </c>
      <c r="D271" s="54" t="s">
        <v>59</v>
      </c>
      <c r="E271" s="59">
        <v>65</v>
      </c>
      <c r="F271" s="59">
        <v>76.2</v>
      </c>
      <c r="G271" s="59">
        <v>71.150000000000006</v>
      </c>
      <c r="H271" s="59">
        <v>68.400000000000006</v>
      </c>
      <c r="I271" s="59">
        <v>79.599999999999994</v>
      </c>
      <c r="J271" s="14">
        <f t="shared" si="4"/>
        <v>72.070000000000007</v>
      </c>
      <c r="K271" s="51">
        <v>132</v>
      </c>
      <c r="L271" s="51">
        <v>43</v>
      </c>
      <c r="M271" s="51">
        <v>75</v>
      </c>
      <c r="N271" s="14">
        <f>IF(ROUNDUP(IF(K271 &gt; 132, K271 / 40, K271 / 36), 0) &gt;= 7, 6, ROUNDUP(IF(K271 &gt; 132, K271 / 40, K271 / 36), 0))</f>
        <v>4</v>
      </c>
      <c r="O271" s="28">
        <f>L271*K271</f>
        <v>5676</v>
      </c>
      <c r="P271" s="28">
        <f>K271*M271</f>
        <v>9900</v>
      </c>
      <c r="Q271" s="15">
        <v>1</v>
      </c>
      <c r="R271" s="15">
        <v>3</v>
      </c>
      <c r="S271" s="15">
        <v>3</v>
      </c>
      <c r="T271" s="15">
        <v>2</v>
      </c>
      <c r="U271" s="75" t="s">
        <v>247</v>
      </c>
      <c r="V271" s="17">
        <v>1</v>
      </c>
    </row>
    <row r="272" spans="1:22">
      <c r="A272" s="54" t="s">
        <v>266</v>
      </c>
      <c r="B272" s="54" t="s">
        <v>267</v>
      </c>
      <c r="C272" s="55" t="s">
        <v>79</v>
      </c>
      <c r="D272" s="54" t="s">
        <v>59</v>
      </c>
      <c r="E272" s="59">
        <v>65</v>
      </c>
      <c r="F272" s="59">
        <v>71.2</v>
      </c>
      <c r="G272" s="59">
        <v>67.7</v>
      </c>
      <c r="H272" s="59">
        <v>65.099999999999994</v>
      </c>
      <c r="I272" s="59">
        <v>76.900000000000006</v>
      </c>
      <c r="J272" s="14">
        <f t="shared" si="4"/>
        <v>69.179999999999993</v>
      </c>
      <c r="K272" s="51">
        <v>132</v>
      </c>
      <c r="L272" s="51">
        <v>43</v>
      </c>
      <c r="M272" s="51">
        <v>75</v>
      </c>
      <c r="N272" s="14">
        <f>IF(ROUNDUP(IF(K272 &gt; 132, K272 / 40, K272 / 36), 0) &gt;= 7, 6, ROUNDUP(IF(K272 &gt; 132, K272 / 40, K272 / 36), 0))</f>
        <v>4</v>
      </c>
      <c r="O272" s="28">
        <f>L272*K272</f>
        <v>5676</v>
      </c>
      <c r="P272" s="28">
        <f>K272*M272</f>
        <v>9900</v>
      </c>
      <c r="Q272" s="15">
        <v>1</v>
      </c>
      <c r="R272" s="15">
        <v>3</v>
      </c>
      <c r="S272" s="15">
        <v>3</v>
      </c>
      <c r="T272" s="15">
        <v>2</v>
      </c>
      <c r="U272" s="75" t="s">
        <v>286</v>
      </c>
      <c r="V272" s="17">
        <v>1</v>
      </c>
    </row>
    <row r="273" spans="1:22">
      <c r="A273" s="54" t="s">
        <v>266</v>
      </c>
      <c r="B273" s="54" t="s">
        <v>267</v>
      </c>
      <c r="C273" s="55" t="s">
        <v>77</v>
      </c>
      <c r="D273" s="54" t="s">
        <v>59</v>
      </c>
      <c r="E273" s="59">
        <v>71.3</v>
      </c>
      <c r="F273" s="59">
        <v>80.400000000000006</v>
      </c>
      <c r="G273" s="59">
        <v>74.5</v>
      </c>
      <c r="H273" s="59">
        <v>72.7</v>
      </c>
      <c r="I273" s="59">
        <v>79.7</v>
      </c>
      <c r="J273" s="14">
        <f t="shared" si="4"/>
        <v>75.72</v>
      </c>
      <c r="K273" s="51">
        <v>132</v>
      </c>
      <c r="L273" s="51">
        <v>43</v>
      </c>
      <c r="M273" s="51">
        <v>75</v>
      </c>
      <c r="N273" s="14">
        <f>IF(ROUNDUP(IF(K273 &gt; 132, K273 / 40, K273 / 36), 0) &gt;= 7, 6, ROUNDUP(IF(K273 &gt; 132, K273 / 40, K273 / 36), 0))</f>
        <v>4</v>
      </c>
      <c r="O273" s="28">
        <f>L273*K273</f>
        <v>5676</v>
      </c>
      <c r="P273" s="28">
        <f>K273*M273</f>
        <v>9900</v>
      </c>
      <c r="Q273" s="15">
        <v>1</v>
      </c>
      <c r="R273" s="15">
        <v>3</v>
      </c>
      <c r="S273" s="15">
        <v>3</v>
      </c>
      <c r="T273" s="15">
        <v>2</v>
      </c>
      <c r="U273" t="s">
        <v>287</v>
      </c>
      <c r="V273" s="17">
        <v>1</v>
      </c>
    </row>
    <row r="274" spans="1:22">
      <c r="A274" s="54" t="s">
        <v>266</v>
      </c>
      <c r="B274" s="54" t="s">
        <v>267</v>
      </c>
      <c r="C274" s="55" t="s">
        <v>288</v>
      </c>
      <c r="D274" s="54" t="s">
        <v>59</v>
      </c>
      <c r="E274" s="15">
        <v>77.400000000000006</v>
      </c>
      <c r="F274" s="15">
        <v>77.400000000000006</v>
      </c>
      <c r="G274" s="59">
        <v>74.5</v>
      </c>
      <c r="H274" s="59">
        <v>76.05</v>
      </c>
      <c r="I274" s="59">
        <v>81.650000000000006</v>
      </c>
      <c r="J274" s="14">
        <f t="shared" si="4"/>
        <v>77.400000000000006</v>
      </c>
      <c r="K274" s="51">
        <v>132</v>
      </c>
      <c r="L274" s="51">
        <v>43</v>
      </c>
      <c r="M274" s="51">
        <v>75</v>
      </c>
      <c r="N274" s="14">
        <f>IF(ROUNDUP(IF(K274 &gt; 132, K274 / 40, K274 / 36), 0) &gt;= 7, 6, ROUNDUP(IF(K274 &gt; 132, K274 / 40, K274 / 36), 0))</f>
        <v>4</v>
      </c>
      <c r="O274" s="28">
        <f>L274*K274</f>
        <v>5676</v>
      </c>
      <c r="P274" s="28">
        <f>K274*M274</f>
        <v>9900</v>
      </c>
      <c r="Q274" s="15">
        <v>1</v>
      </c>
      <c r="R274" s="15">
        <v>3</v>
      </c>
      <c r="S274" s="15">
        <v>4</v>
      </c>
      <c r="T274" s="15">
        <v>2</v>
      </c>
      <c r="U274" t="s">
        <v>289</v>
      </c>
      <c r="V274" s="17">
        <v>1</v>
      </c>
    </row>
    <row r="275" spans="1:22">
      <c r="A275" s="54" t="s">
        <v>266</v>
      </c>
      <c r="B275" s="54" t="s">
        <v>267</v>
      </c>
      <c r="C275" s="55" t="s">
        <v>67</v>
      </c>
      <c r="D275" s="54" t="s">
        <v>59</v>
      </c>
      <c r="E275" s="59">
        <v>65</v>
      </c>
      <c r="F275" s="59">
        <v>79.400000000000006</v>
      </c>
      <c r="G275" s="59">
        <v>68.5</v>
      </c>
      <c r="H275" s="59">
        <v>65.150000000000006</v>
      </c>
      <c r="I275" s="59">
        <v>73</v>
      </c>
      <c r="J275" s="14">
        <f t="shared" si="4"/>
        <v>70.210000000000008</v>
      </c>
      <c r="K275" s="51">
        <v>132</v>
      </c>
      <c r="L275" s="51">
        <v>25</v>
      </c>
      <c r="M275" s="51">
        <v>40</v>
      </c>
      <c r="N275" s="14">
        <f>IF(ROUNDUP(IF(K275 &gt; 132, K275 / 40, K275 / 36), 0) &gt;= 7, 6, ROUNDUP(IF(K275 &gt; 132, K275 / 40, K275 / 36), 0))</f>
        <v>4</v>
      </c>
      <c r="O275" s="28">
        <f>L275*K275</f>
        <v>3300</v>
      </c>
      <c r="P275" s="28">
        <f>K275*M275</f>
        <v>5280</v>
      </c>
      <c r="Q275" s="15">
        <v>0</v>
      </c>
      <c r="R275" s="15">
        <v>1</v>
      </c>
      <c r="S275" s="15">
        <v>4</v>
      </c>
      <c r="T275" s="15">
        <v>1</v>
      </c>
      <c r="U275" s="75" t="s">
        <v>290</v>
      </c>
      <c r="V275" s="17">
        <v>1</v>
      </c>
    </row>
    <row r="276" spans="1:22">
      <c r="A276" s="55" t="s">
        <v>266</v>
      </c>
      <c r="B276" s="26" t="s">
        <v>267</v>
      </c>
      <c r="C276" s="55" t="s">
        <v>63</v>
      </c>
      <c r="D276" s="54" t="s">
        <v>59</v>
      </c>
      <c r="E276" s="59">
        <v>65</v>
      </c>
      <c r="F276" s="59">
        <v>70.7</v>
      </c>
      <c r="G276" s="59">
        <v>65</v>
      </c>
      <c r="H276" s="59">
        <v>65.400000000000006</v>
      </c>
      <c r="I276" s="59">
        <v>67.900000000000006</v>
      </c>
      <c r="J276" s="14">
        <f t="shared" si="4"/>
        <v>66.8</v>
      </c>
      <c r="K276" s="51">
        <v>132</v>
      </c>
      <c r="L276" s="51">
        <v>25</v>
      </c>
      <c r="M276" s="51">
        <v>40</v>
      </c>
      <c r="N276" s="14">
        <f>IF(ROUNDUP(IF(K276 &gt; 132, K276 / 40, K276 / 36), 0) &gt;= 7, 6, ROUNDUP(IF(K276 &gt; 132, K276 / 40, K276 / 36), 0))</f>
        <v>4</v>
      </c>
      <c r="O276" s="28">
        <f>L276*K276</f>
        <v>3300</v>
      </c>
      <c r="P276" s="28">
        <f>K276*M276</f>
        <v>5280</v>
      </c>
      <c r="Q276" s="15">
        <v>1</v>
      </c>
      <c r="R276" s="15">
        <v>2</v>
      </c>
      <c r="S276" s="15">
        <v>4</v>
      </c>
      <c r="T276" s="15">
        <v>0</v>
      </c>
      <c r="U276" s="75" t="s">
        <v>255</v>
      </c>
      <c r="V276" s="15">
        <v>1</v>
      </c>
    </row>
    <row r="277" spans="1:22">
      <c r="A277" s="54" t="s">
        <v>266</v>
      </c>
      <c r="B277" s="54" t="s">
        <v>267</v>
      </c>
      <c r="C277" s="55" t="s">
        <v>61</v>
      </c>
      <c r="D277" s="54" t="s">
        <v>59</v>
      </c>
      <c r="E277" s="59">
        <v>65</v>
      </c>
      <c r="F277" s="59">
        <v>79.7</v>
      </c>
      <c r="G277" s="59">
        <v>66.650000000000006</v>
      </c>
      <c r="H277" s="59">
        <v>66.45</v>
      </c>
      <c r="I277" s="59">
        <v>72</v>
      </c>
      <c r="J277" s="14">
        <f t="shared" si="4"/>
        <v>69.960000000000008</v>
      </c>
      <c r="K277" s="51">
        <v>132</v>
      </c>
      <c r="L277" s="51">
        <v>25</v>
      </c>
      <c r="M277" s="51">
        <v>40</v>
      </c>
      <c r="N277" s="14">
        <f>IF(ROUNDUP(IF(K277 &gt; 132, K277 / 40, K277 / 36), 0) &gt;= 7, 6, ROUNDUP(IF(K277 &gt; 132, K277 / 40, K277 / 36), 0))</f>
        <v>4</v>
      </c>
      <c r="O277" s="28">
        <f>L277*K277</f>
        <v>3300</v>
      </c>
      <c r="P277" s="28">
        <f>K277*M277</f>
        <v>5280</v>
      </c>
      <c r="Q277" s="15">
        <v>1</v>
      </c>
      <c r="R277" s="15">
        <v>3</v>
      </c>
      <c r="S277" s="15">
        <v>3</v>
      </c>
      <c r="T277" s="15">
        <v>1</v>
      </c>
      <c r="U277" s="75" t="s">
        <v>291</v>
      </c>
      <c r="V277" s="17">
        <v>1</v>
      </c>
    </row>
    <row r="278" spans="1:22">
      <c r="A278" s="54" t="s">
        <v>266</v>
      </c>
      <c r="B278" s="54" t="s">
        <v>267</v>
      </c>
      <c r="C278" s="55" t="s">
        <v>292</v>
      </c>
      <c r="D278" s="54" t="s">
        <v>59</v>
      </c>
      <c r="E278" s="59">
        <v>65</v>
      </c>
      <c r="F278" s="59">
        <v>75</v>
      </c>
      <c r="G278" s="59">
        <v>70.25</v>
      </c>
      <c r="H278" s="59">
        <v>68.95</v>
      </c>
      <c r="I278" s="59">
        <v>75.400000000000006</v>
      </c>
      <c r="J278" s="14">
        <f t="shared" si="4"/>
        <v>70.92</v>
      </c>
      <c r="K278" s="51">
        <v>132</v>
      </c>
      <c r="L278" s="51">
        <v>25</v>
      </c>
      <c r="M278" s="51">
        <v>40</v>
      </c>
      <c r="N278" s="14">
        <f>IF(ROUNDUP(IF(K278 &gt; 132, K278 / 40, K278 / 36), 0) &gt;= 7, 6, ROUNDUP(IF(K278 &gt; 132, K278 / 40, K278 / 36), 0))</f>
        <v>4</v>
      </c>
      <c r="O278" s="28">
        <f>L278*K278</f>
        <v>3300</v>
      </c>
      <c r="P278" s="28">
        <f>K278*M278</f>
        <v>5280</v>
      </c>
      <c r="Q278" s="15">
        <v>1</v>
      </c>
      <c r="R278" s="15">
        <v>3</v>
      </c>
      <c r="S278" s="15">
        <v>3</v>
      </c>
      <c r="T278" s="15">
        <v>2</v>
      </c>
      <c r="U278" s="75" t="s">
        <v>293</v>
      </c>
      <c r="V278" s="17">
        <v>1</v>
      </c>
    </row>
    <row r="279" spans="1:22">
      <c r="A279" s="54" t="s">
        <v>266</v>
      </c>
      <c r="B279" s="54" t="s">
        <v>267</v>
      </c>
      <c r="C279" s="55" t="s">
        <v>87</v>
      </c>
      <c r="D279" s="1" t="s">
        <v>88</v>
      </c>
      <c r="E279" s="59">
        <v>65</v>
      </c>
      <c r="F279" s="59">
        <v>82.7</v>
      </c>
      <c r="G279" s="59">
        <v>75.25</v>
      </c>
      <c r="H279" s="59">
        <v>66.900000000000006</v>
      </c>
      <c r="I279" s="59">
        <v>74.400000000000006</v>
      </c>
      <c r="J279" s="14">
        <f t="shared" si="4"/>
        <v>72.849999999999994</v>
      </c>
      <c r="K279" s="51">
        <v>132</v>
      </c>
      <c r="L279" s="51">
        <v>28</v>
      </c>
      <c r="M279" s="51">
        <v>40</v>
      </c>
      <c r="N279" s="14">
        <f>IF(ROUNDUP(IF(K279 &gt; 132, K279 / 40, K279 / 36), 0) &gt;= 7, 6, ROUNDUP(IF(K279 &gt; 132, K279 / 40, K279 / 36), 0))</f>
        <v>4</v>
      </c>
      <c r="O279" s="28">
        <f>L279*K279</f>
        <v>3696</v>
      </c>
      <c r="P279" s="28">
        <f>K279*M279</f>
        <v>5280</v>
      </c>
      <c r="Q279" s="15">
        <v>0</v>
      </c>
      <c r="R279" s="15">
        <v>1</v>
      </c>
      <c r="S279" s="15">
        <v>2</v>
      </c>
      <c r="T279" s="15">
        <v>1</v>
      </c>
      <c r="U279" s="75" t="s">
        <v>294</v>
      </c>
      <c r="V279" s="17">
        <v>1</v>
      </c>
    </row>
    <row r="280" spans="1:22">
      <c r="A280" s="54" t="s">
        <v>266</v>
      </c>
      <c r="B280" s="54" t="s">
        <v>267</v>
      </c>
      <c r="C280" s="55" t="s">
        <v>295</v>
      </c>
      <c r="D280" s="2" t="s">
        <v>88</v>
      </c>
      <c r="E280" s="59">
        <v>65</v>
      </c>
      <c r="F280" s="59">
        <v>84.5</v>
      </c>
      <c r="G280" s="59">
        <v>76.349999999999994</v>
      </c>
      <c r="H280" s="59">
        <v>68.650000000000006</v>
      </c>
      <c r="I280" s="59">
        <v>85</v>
      </c>
      <c r="J280" s="14">
        <f t="shared" si="4"/>
        <v>75.900000000000006</v>
      </c>
      <c r="K280" s="51">
        <v>132</v>
      </c>
      <c r="L280" s="51">
        <v>28</v>
      </c>
      <c r="M280" s="51">
        <v>40</v>
      </c>
      <c r="N280" s="14">
        <f>IF(ROUNDUP(IF(K280 &gt; 132, K280 / 40, K280 / 36), 0) &gt;= 7, 6, ROUNDUP(IF(K280 &gt; 132, K280 / 40, K280 / 36), 0))</f>
        <v>4</v>
      </c>
      <c r="O280" s="28">
        <f>L280*K280</f>
        <v>3696</v>
      </c>
      <c r="P280" s="28">
        <f>K280*M280</f>
        <v>5280</v>
      </c>
      <c r="Q280" s="15">
        <v>0</v>
      </c>
      <c r="R280" s="15">
        <v>1</v>
      </c>
      <c r="S280" s="15">
        <v>2</v>
      </c>
      <c r="T280" s="15">
        <v>1</v>
      </c>
      <c r="U280" s="75" t="s">
        <v>296</v>
      </c>
      <c r="V280" s="17">
        <v>1</v>
      </c>
    </row>
    <row r="281" spans="1:22">
      <c r="A281" s="54" t="s">
        <v>266</v>
      </c>
      <c r="B281" s="54" t="s">
        <v>267</v>
      </c>
      <c r="C281" s="55" t="s">
        <v>188</v>
      </c>
      <c r="D281" s="2" t="s">
        <v>88</v>
      </c>
      <c r="E281" s="59">
        <v>65</v>
      </c>
      <c r="F281" s="59">
        <v>74.7</v>
      </c>
      <c r="G281" s="59">
        <v>70.95</v>
      </c>
      <c r="H281" s="59">
        <v>65</v>
      </c>
      <c r="I281" s="59">
        <v>73.7</v>
      </c>
      <c r="J281" s="14">
        <f t="shared" si="4"/>
        <v>69.86999999999999</v>
      </c>
      <c r="K281" s="51">
        <v>132</v>
      </c>
      <c r="L281" s="51">
        <v>28</v>
      </c>
      <c r="M281" s="51">
        <v>40</v>
      </c>
      <c r="N281" s="14">
        <f>IF(ROUNDUP(IF(K281 &gt; 132, K281 / 40, K281 / 36), 0) &gt;= 7, 6, ROUNDUP(IF(K281 &gt; 132, K281 / 40, K281 / 36), 0))</f>
        <v>4</v>
      </c>
      <c r="O281" s="28">
        <f>L281*K281</f>
        <v>3696</v>
      </c>
      <c r="P281" s="28">
        <f>K281*M281</f>
        <v>5280</v>
      </c>
      <c r="Q281" s="15">
        <v>0</v>
      </c>
      <c r="R281" s="15">
        <v>1</v>
      </c>
      <c r="S281" s="15">
        <v>2</v>
      </c>
      <c r="T281" s="15">
        <v>1</v>
      </c>
      <c r="U281" s="75" t="s">
        <v>297</v>
      </c>
      <c r="V281" s="17">
        <v>1</v>
      </c>
    </row>
    <row r="282" spans="1:22">
      <c r="A282" s="54" t="s">
        <v>266</v>
      </c>
      <c r="B282" s="54" t="s">
        <v>267</v>
      </c>
      <c r="C282" s="55" t="s">
        <v>298</v>
      </c>
      <c r="D282" s="2" t="s">
        <v>88</v>
      </c>
      <c r="E282" s="59">
        <v>65</v>
      </c>
      <c r="F282" s="59">
        <v>74.3</v>
      </c>
      <c r="G282" s="59">
        <v>71.95</v>
      </c>
      <c r="H282" s="59">
        <v>65</v>
      </c>
      <c r="I282" s="15">
        <v>72.849999999999994</v>
      </c>
      <c r="J282" s="14">
        <f t="shared" si="4"/>
        <v>69.820000000000007</v>
      </c>
      <c r="K282" s="51">
        <v>132</v>
      </c>
      <c r="L282" s="51">
        <v>28</v>
      </c>
      <c r="M282" s="51">
        <v>40</v>
      </c>
      <c r="N282" s="14">
        <f>IF(ROUNDUP(IF(K282 &gt; 132, K282 / 40, K282 / 36), 0) &gt;= 7, 6, ROUNDUP(IF(K282 &gt; 132, K282 / 40, K282 / 36), 0))</f>
        <v>4</v>
      </c>
      <c r="O282" s="28">
        <f>L282*K282</f>
        <v>3696</v>
      </c>
      <c r="P282" s="28">
        <f>K282*M282</f>
        <v>5280</v>
      </c>
      <c r="Q282" s="15">
        <v>0</v>
      </c>
      <c r="R282" s="15">
        <v>1</v>
      </c>
      <c r="S282" s="15">
        <v>2</v>
      </c>
      <c r="T282" s="15">
        <v>1</v>
      </c>
      <c r="U282" s="75" t="s">
        <v>299</v>
      </c>
      <c r="V282" s="17">
        <v>1</v>
      </c>
    </row>
    <row r="283" spans="1:22">
      <c r="A283" s="54" t="s">
        <v>266</v>
      </c>
      <c r="B283" s="54" t="s">
        <v>267</v>
      </c>
      <c r="C283" s="55" t="s">
        <v>300</v>
      </c>
      <c r="D283" s="2" t="s">
        <v>88</v>
      </c>
      <c r="E283" s="59">
        <v>65</v>
      </c>
      <c r="F283" s="59">
        <v>65.900000000000006</v>
      </c>
      <c r="G283" s="59">
        <v>65.05</v>
      </c>
      <c r="H283" s="59">
        <v>65</v>
      </c>
      <c r="I283" s="59">
        <v>74.5</v>
      </c>
      <c r="J283" s="14">
        <f t="shared" si="4"/>
        <v>67.09</v>
      </c>
      <c r="K283" s="51">
        <v>132</v>
      </c>
      <c r="L283" s="51">
        <v>28</v>
      </c>
      <c r="M283" s="51">
        <v>40</v>
      </c>
      <c r="N283" s="14">
        <f>IF(ROUNDUP(IF(K283 &gt; 132, K283 / 40, K283 / 36), 0) &gt;= 7, 6, ROUNDUP(IF(K283 &gt; 132, K283 / 40, K283 / 36), 0))</f>
        <v>4</v>
      </c>
      <c r="O283" s="28">
        <f>L283*K283</f>
        <v>3696</v>
      </c>
      <c r="P283" s="28">
        <f>K283*M283</f>
        <v>5280</v>
      </c>
      <c r="Q283" s="15">
        <v>1</v>
      </c>
      <c r="R283" s="15">
        <v>2</v>
      </c>
      <c r="S283" s="15">
        <v>3</v>
      </c>
      <c r="T283" s="15">
        <v>2</v>
      </c>
      <c r="U283" s="75" t="s">
        <v>301</v>
      </c>
      <c r="V283" s="15">
        <v>1</v>
      </c>
    </row>
    <row r="284" spans="1:22">
      <c r="A284" s="54" t="s">
        <v>266</v>
      </c>
      <c r="B284" s="54" t="s">
        <v>267</v>
      </c>
      <c r="C284" s="55" t="s">
        <v>186</v>
      </c>
      <c r="D284" s="1" t="s">
        <v>88</v>
      </c>
      <c r="E284" s="59">
        <v>65</v>
      </c>
      <c r="F284" s="59">
        <v>65.599999999999994</v>
      </c>
      <c r="G284" s="59">
        <v>73.150000000000006</v>
      </c>
      <c r="H284" s="59">
        <v>65.05</v>
      </c>
      <c r="I284" s="59">
        <v>76.849999999999994</v>
      </c>
      <c r="J284" s="14">
        <f t="shared" si="4"/>
        <v>69.13</v>
      </c>
      <c r="K284" s="51">
        <v>132</v>
      </c>
      <c r="L284" s="51">
        <v>22</v>
      </c>
      <c r="M284" s="51">
        <v>35</v>
      </c>
      <c r="N284" s="14">
        <f>IF(ROUNDUP(IF(K284 &gt; 132, K284 / 40, K284 / 36), 0) &gt;= 7, 6, ROUNDUP(IF(K284 &gt; 132, K284 / 40, K284 / 36), 0))</f>
        <v>4</v>
      </c>
      <c r="O284" s="28">
        <f>L284*K284</f>
        <v>2904</v>
      </c>
      <c r="P284" s="28">
        <f>K284*M284</f>
        <v>4620</v>
      </c>
      <c r="Q284" s="15">
        <v>1</v>
      </c>
      <c r="R284" s="15">
        <v>2</v>
      </c>
      <c r="S284" s="15">
        <v>2</v>
      </c>
      <c r="T284" s="15">
        <v>2</v>
      </c>
      <c r="U284" s="75" t="s">
        <v>302</v>
      </c>
      <c r="V284" s="17">
        <v>1</v>
      </c>
    </row>
    <row r="285" spans="1:22">
      <c r="A285" s="55" t="s">
        <v>266</v>
      </c>
      <c r="B285" s="26" t="s">
        <v>267</v>
      </c>
      <c r="C285" s="55" t="s">
        <v>100</v>
      </c>
      <c r="D285" s="2" t="s">
        <v>88</v>
      </c>
      <c r="E285" s="59">
        <v>65</v>
      </c>
      <c r="F285" s="59">
        <v>66.400000000000006</v>
      </c>
      <c r="G285" s="59">
        <v>65</v>
      </c>
      <c r="H285" s="59">
        <v>65.2</v>
      </c>
      <c r="I285" s="59">
        <v>71.599999999999994</v>
      </c>
      <c r="J285" s="14">
        <f t="shared" si="4"/>
        <v>66.640000000000015</v>
      </c>
      <c r="K285" s="51">
        <v>132</v>
      </c>
      <c r="L285" s="51">
        <v>22</v>
      </c>
      <c r="M285" s="51">
        <v>35</v>
      </c>
      <c r="N285" s="14">
        <f>IF(ROUNDUP(IF(K285 &gt; 132, K285 / 40, K285 / 36), 0) &gt;= 7, 6, ROUNDUP(IF(K285 &gt; 132, K285 / 40, K285 / 36), 0))</f>
        <v>4</v>
      </c>
      <c r="O285" s="28">
        <f>L285*K285</f>
        <v>2904</v>
      </c>
      <c r="P285" s="28">
        <f>K285*M285</f>
        <v>4620</v>
      </c>
      <c r="Q285" s="15">
        <v>1</v>
      </c>
      <c r="R285" s="15">
        <v>3</v>
      </c>
      <c r="S285" s="15">
        <v>3</v>
      </c>
      <c r="T285" s="15">
        <v>2</v>
      </c>
      <c r="U285" s="75" t="s">
        <v>303</v>
      </c>
      <c r="V285" s="17">
        <v>1</v>
      </c>
    </row>
    <row r="286" spans="1:22">
      <c r="A286" s="54" t="s">
        <v>266</v>
      </c>
      <c r="B286" s="54" t="s">
        <v>267</v>
      </c>
      <c r="C286" s="55" t="s">
        <v>304</v>
      </c>
      <c r="D286" s="2" t="s">
        <v>88</v>
      </c>
      <c r="E286" s="59">
        <v>65</v>
      </c>
      <c r="F286" s="59">
        <v>65</v>
      </c>
      <c r="G286" s="59">
        <v>67.3</v>
      </c>
      <c r="H286" s="59">
        <v>65</v>
      </c>
      <c r="I286" s="59">
        <v>71.55</v>
      </c>
      <c r="J286" s="14">
        <f t="shared" si="4"/>
        <v>66.77000000000001</v>
      </c>
      <c r="K286" s="51">
        <v>132</v>
      </c>
      <c r="L286" s="51">
        <v>22</v>
      </c>
      <c r="M286" s="51">
        <v>35</v>
      </c>
      <c r="N286" s="14">
        <f>IF(ROUNDUP(IF(K286 &gt; 132, K286 / 40, K286 / 36), 0) &gt;= 7, 6, ROUNDUP(IF(K286 &gt; 132, K286 / 40, K286 / 36), 0))</f>
        <v>4</v>
      </c>
      <c r="O286" s="28">
        <f>L286*K286</f>
        <v>2904</v>
      </c>
      <c r="P286" s="28">
        <f>K286*M286</f>
        <v>4620</v>
      </c>
      <c r="Q286" s="15">
        <v>1</v>
      </c>
      <c r="R286" s="15">
        <v>3</v>
      </c>
      <c r="S286" s="15">
        <v>2</v>
      </c>
      <c r="T286" s="15">
        <v>2</v>
      </c>
      <c r="U286" s="75" t="s">
        <v>305</v>
      </c>
      <c r="V286" s="17">
        <v>1</v>
      </c>
    </row>
    <row r="287" spans="1:22">
      <c r="A287" s="54" t="s">
        <v>266</v>
      </c>
      <c r="B287" s="54" t="s">
        <v>267</v>
      </c>
      <c r="C287" s="55" t="s">
        <v>306</v>
      </c>
      <c r="D287" s="2" t="s">
        <v>88</v>
      </c>
      <c r="E287" s="59">
        <v>65</v>
      </c>
      <c r="F287" s="59">
        <v>65.400000000000006</v>
      </c>
      <c r="G287" s="59">
        <v>65.05</v>
      </c>
      <c r="H287" s="59">
        <v>65.349999999999994</v>
      </c>
      <c r="I287" s="59">
        <v>65.05</v>
      </c>
      <c r="J287" s="14">
        <f t="shared" si="4"/>
        <v>65.169999999999987</v>
      </c>
      <c r="K287" s="51">
        <v>132</v>
      </c>
      <c r="L287" s="51">
        <v>25</v>
      </c>
      <c r="M287" s="51">
        <v>40</v>
      </c>
      <c r="N287" s="14">
        <f>IF(ROUNDUP(IF(K287 &gt; 132, K287 / 40, K287 / 36), 0) &gt;= 7, 6, ROUNDUP(IF(K287 &gt; 132, K287 / 40, K287 / 36), 0))</f>
        <v>4</v>
      </c>
      <c r="O287" s="28">
        <f>L287*K287</f>
        <v>3300</v>
      </c>
      <c r="P287" s="28">
        <f>K287*M287</f>
        <v>5280</v>
      </c>
      <c r="Q287" s="15">
        <v>1</v>
      </c>
      <c r="R287" s="15">
        <v>3</v>
      </c>
      <c r="S287" s="15">
        <v>3</v>
      </c>
      <c r="T287" s="15">
        <v>1</v>
      </c>
      <c r="U287" s="75" t="s">
        <v>307</v>
      </c>
      <c r="V287" s="17">
        <v>1</v>
      </c>
    </row>
    <row r="288" spans="1:22">
      <c r="A288" s="54" t="s">
        <v>266</v>
      </c>
      <c r="B288" s="54" t="s">
        <v>267</v>
      </c>
      <c r="C288" s="55" t="s">
        <v>308</v>
      </c>
      <c r="D288" s="30" t="s">
        <v>120</v>
      </c>
      <c r="E288" s="59">
        <v>65</v>
      </c>
      <c r="F288" s="59">
        <v>65</v>
      </c>
      <c r="G288" s="59">
        <v>66.099999999999994</v>
      </c>
      <c r="H288" s="59">
        <v>65</v>
      </c>
      <c r="I288" s="59">
        <v>67.849999999999994</v>
      </c>
      <c r="J288" s="14">
        <f t="shared" si="4"/>
        <v>65.790000000000006</v>
      </c>
      <c r="K288" s="51">
        <v>132</v>
      </c>
      <c r="L288" s="51">
        <v>30</v>
      </c>
      <c r="M288" s="51">
        <v>40</v>
      </c>
      <c r="N288" s="14">
        <f>IF(ROUNDUP(IF(K288 &gt; 132, K288 / 40, K288 / 36), 0) &gt;= 7, 6, ROUNDUP(IF(K288 &gt; 132, K288 / 40, K288 / 36), 0))</f>
        <v>4</v>
      </c>
      <c r="O288" s="28">
        <f>L288*K288</f>
        <v>3960</v>
      </c>
      <c r="P288" s="28">
        <f>K288*M288</f>
        <v>5280</v>
      </c>
      <c r="Q288" s="15">
        <v>0</v>
      </c>
      <c r="R288" s="15">
        <v>1</v>
      </c>
      <c r="S288" s="15">
        <v>3</v>
      </c>
      <c r="T288" s="15">
        <v>1</v>
      </c>
      <c r="U288" s="75" t="s">
        <v>309</v>
      </c>
      <c r="V288" s="17">
        <v>1</v>
      </c>
    </row>
    <row r="289" spans="1:22">
      <c r="A289" s="54" t="s">
        <v>266</v>
      </c>
      <c r="B289" s="54" t="s">
        <v>267</v>
      </c>
      <c r="C289" s="55" t="s">
        <v>122</v>
      </c>
      <c r="D289" s="2" t="s">
        <v>120</v>
      </c>
      <c r="E289" s="59">
        <v>65</v>
      </c>
      <c r="F289" s="59">
        <v>79.2</v>
      </c>
      <c r="G289" s="59">
        <v>76.05</v>
      </c>
      <c r="H289" s="59">
        <v>67.2</v>
      </c>
      <c r="I289" s="59">
        <v>77.650000000000006</v>
      </c>
      <c r="J289" s="14">
        <f t="shared" si="4"/>
        <v>73.02000000000001</v>
      </c>
      <c r="K289" s="51">
        <v>132</v>
      </c>
      <c r="L289" s="51">
        <v>30</v>
      </c>
      <c r="M289" s="51">
        <v>40</v>
      </c>
      <c r="N289" s="14">
        <f>IF(ROUNDUP(IF(K289 &gt; 132, K289 / 40, K289 / 36), 0) &gt;= 7, 6, ROUNDUP(IF(K289 &gt; 132, K289 / 40, K289 / 36), 0))</f>
        <v>4</v>
      </c>
      <c r="O289" s="28">
        <f>L289*K289</f>
        <v>3960</v>
      </c>
      <c r="P289" s="28">
        <f>K289*M289</f>
        <v>5280</v>
      </c>
      <c r="Q289" s="15">
        <v>0</v>
      </c>
      <c r="R289" s="15">
        <v>1</v>
      </c>
      <c r="S289" s="15">
        <v>3</v>
      </c>
      <c r="T289" s="15">
        <v>1</v>
      </c>
      <c r="U289" s="75" t="s">
        <v>310</v>
      </c>
      <c r="V289" s="17">
        <v>1</v>
      </c>
    </row>
    <row r="290" spans="1:22">
      <c r="A290" s="54" t="s">
        <v>266</v>
      </c>
      <c r="B290" s="54" t="s">
        <v>267</v>
      </c>
      <c r="C290" s="55" t="s">
        <v>119</v>
      </c>
      <c r="D290" s="2" t="s">
        <v>120</v>
      </c>
      <c r="E290" s="59">
        <v>65</v>
      </c>
      <c r="F290" s="59">
        <v>72.7</v>
      </c>
      <c r="G290" s="59">
        <v>70.5</v>
      </c>
      <c r="H290" s="59">
        <v>65</v>
      </c>
      <c r="I290" s="59">
        <v>76.849999999999994</v>
      </c>
      <c r="J290" s="14">
        <f t="shared" si="4"/>
        <v>70.009999999999991</v>
      </c>
      <c r="K290" s="51">
        <v>132</v>
      </c>
      <c r="L290" s="51">
        <v>30</v>
      </c>
      <c r="M290" s="51">
        <v>40</v>
      </c>
      <c r="N290" s="14">
        <f>IF(ROUNDUP(IF(K290 &gt; 132, K290 / 40, K290 / 36), 0) &gt;= 7, 6, ROUNDUP(IF(K290 &gt; 132, K290 / 40, K290 / 36), 0))</f>
        <v>4</v>
      </c>
      <c r="O290" s="28">
        <f>L290*K290</f>
        <v>3960</v>
      </c>
      <c r="P290" s="28">
        <f>K290*M290</f>
        <v>5280</v>
      </c>
      <c r="Q290" s="15">
        <v>0</v>
      </c>
      <c r="R290" s="15">
        <v>1</v>
      </c>
      <c r="S290" s="15">
        <v>3</v>
      </c>
      <c r="T290" s="15">
        <v>1</v>
      </c>
      <c r="U290" t="s">
        <v>311</v>
      </c>
      <c r="V290" s="17">
        <v>1</v>
      </c>
    </row>
    <row r="291" spans="1:22">
      <c r="A291" s="54" t="s">
        <v>266</v>
      </c>
      <c r="B291" s="54" t="s">
        <v>267</v>
      </c>
      <c r="C291" s="55" t="s">
        <v>312</v>
      </c>
      <c r="D291" s="2" t="s">
        <v>120</v>
      </c>
      <c r="E291" s="59">
        <v>65</v>
      </c>
      <c r="F291" s="59">
        <v>68.5</v>
      </c>
      <c r="G291" s="59">
        <v>70.3</v>
      </c>
      <c r="H291" s="59">
        <v>65</v>
      </c>
      <c r="I291" s="59">
        <v>72.650000000000006</v>
      </c>
      <c r="J291" s="14">
        <f t="shared" si="4"/>
        <v>68.290000000000006</v>
      </c>
      <c r="K291" s="51">
        <v>132</v>
      </c>
      <c r="L291" s="51">
        <v>30</v>
      </c>
      <c r="M291" s="51">
        <v>40</v>
      </c>
      <c r="N291" s="14">
        <f>IF(ROUNDUP(IF(K291 &gt; 132, K291 / 40, K291 / 36), 0) &gt;= 7, 6, ROUNDUP(IF(K291 &gt; 132, K291 / 40, K291 / 36), 0))</f>
        <v>4</v>
      </c>
      <c r="O291" s="28">
        <f>L291*K291</f>
        <v>3960</v>
      </c>
      <c r="P291" s="28">
        <f>K291*M291</f>
        <v>5280</v>
      </c>
      <c r="Q291" s="15">
        <v>0</v>
      </c>
      <c r="R291" s="15">
        <v>1</v>
      </c>
      <c r="S291" s="15">
        <v>3</v>
      </c>
      <c r="T291" s="15">
        <v>1</v>
      </c>
      <c r="U291" s="75" t="s">
        <v>313</v>
      </c>
      <c r="V291" s="17">
        <v>1</v>
      </c>
    </row>
    <row r="292" spans="1:22">
      <c r="A292" s="54" t="s">
        <v>266</v>
      </c>
      <c r="B292" s="54" t="s">
        <v>267</v>
      </c>
      <c r="C292" s="55" t="s">
        <v>314</v>
      </c>
      <c r="D292" s="2" t="s">
        <v>120</v>
      </c>
      <c r="E292" s="59">
        <v>65</v>
      </c>
      <c r="F292" s="59">
        <v>70.400000000000006</v>
      </c>
      <c r="G292" s="59">
        <v>69.45</v>
      </c>
      <c r="H292" s="59">
        <v>65.05</v>
      </c>
      <c r="I292" s="59">
        <v>76.8</v>
      </c>
      <c r="J292" s="14">
        <f t="shared" si="4"/>
        <v>69.34</v>
      </c>
      <c r="K292" s="51">
        <v>132</v>
      </c>
      <c r="L292" s="51">
        <v>30</v>
      </c>
      <c r="M292" s="51">
        <v>40</v>
      </c>
      <c r="N292" s="14">
        <f>IF(ROUNDUP(IF(K292 &gt; 132, K292 / 40, K292 / 36), 0) &gt;= 7, 6, ROUNDUP(IF(K292 &gt; 132, K292 / 40, K292 / 36), 0))</f>
        <v>4</v>
      </c>
      <c r="O292" s="28">
        <f>L292*K292</f>
        <v>3960</v>
      </c>
      <c r="P292" s="28">
        <f>K292*M292</f>
        <v>5280</v>
      </c>
      <c r="Q292" s="15">
        <v>1</v>
      </c>
      <c r="R292" s="15">
        <v>3</v>
      </c>
      <c r="S292" s="15">
        <v>3</v>
      </c>
      <c r="T292" s="15">
        <v>2</v>
      </c>
      <c r="U292" s="75" t="s">
        <v>315</v>
      </c>
      <c r="V292" s="17">
        <v>1</v>
      </c>
    </row>
    <row r="293" spans="1:22">
      <c r="A293" s="54" t="s">
        <v>266</v>
      </c>
      <c r="B293" s="54" t="s">
        <v>267</v>
      </c>
      <c r="C293" s="55" t="s">
        <v>316</v>
      </c>
      <c r="D293" s="2" t="s">
        <v>120</v>
      </c>
      <c r="E293" s="59">
        <v>65</v>
      </c>
      <c r="F293" s="59">
        <v>65.400000000000006</v>
      </c>
      <c r="G293" s="59">
        <v>65.069999999999993</v>
      </c>
      <c r="H293" s="59">
        <v>65.25</v>
      </c>
      <c r="I293" s="59">
        <v>65.8</v>
      </c>
      <c r="J293" s="14">
        <f t="shared" si="4"/>
        <v>65.304000000000002</v>
      </c>
      <c r="K293" s="51">
        <v>132</v>
      </c>
      <c r="L293" s="51">
        <v>25</v>
      </c>
      <c r="M293" s="51">
        <v>40</v>
      </c>
      <c r="N293" s="14">
        <f>IF(ROUNDUP(IF(K293 &gt; 132, K293 / 40, K293 / 36), 0) &gt;= 7, 6, ROUNDUP(IF(K293 &gt; 132, K293 / 40, K293 / 36), 0))</f>
        <v>4</v>
      </c>
      <c r="O293" s="28">
        <f>L293*K293</f>
        <v>3300</v>
      </c>
      <c r="P293" s="28">
        <f>K293*M293</f>
        <v>5280</v>
      </c>
      <c r="Q293" s="15">
        <v>1</v>
      </c>
      <c r="R293" s="15">
        <v>3</v>
      </c>
      <c r="S293" s="15">
        <v>3</v>
      </c>
      <c r="T293" s="15">
        <v>2</v>
      </c>
      <c r="U293" s="75" t="s">
        <v>317</v>
      </c>
      <c r="V293" s="15">
        <v>1</v>
      </c>
    </row>
    <row r="294" spans="1:22">
      <c r="A294" s="55" t="s">
        <v>266</v>
      </c>
      <c r="B294" s="26" t="s">
        <v>267</v>
      </c>
      <c r="C294" s="55" t="s">
        <v>318</v>
      </c>
      <c r="D294" s="2" t="s">
        <v>120</v>
      </c>
      <c r="E294" s="59">
        <v>65</v>
      </c>
      <c r="F294" s="59">
        <v>65.2</v>
      </c>
      <c r="G294" s="59">
        <v>65</v>
      </c>
      <c r="H294" s="59">
        <v>65.599999999999994</v>
      </c>
      <c r="I294" s="59">
        <v>70</v>
      </c>
      <c r="J294" s="14">
        <f t="shared" si="4"/>
        <v>66.16</v>
      </c>
      <c r="K294" s="51">
        <v>132</v>
      </c>
      <c r="L294" s="51">
        <v>25</v>
      </c>
      <c r="M294" s="51">
        <v>40</v>
      </c>
      <c r="N294" s="14">
        <f>IF(ROUNDUP(IF(K294 &gt; 132, K294 / 40, K294 / 36), 0) &gt;= 7, 6, ROUNDUP(IF(K294 &gt; 132, K294 / 40, K294 / 36), 0))</f>
        <v>4</v>
      </c>
      <c r="O294" s="28">
        <f>L294*K294</f>
        <v>3300</v>
      </c>
      <c r="P294" s="28">
        <f>K294*M294</f>
        <v>5280</v>
      </c>
      <c r="Q294" s="15">
        <v>1</v>
      </c>
      <c r="R294" s="15">
        <v>3</v>
      </c>
      <c r="S294" s="15">
        <v>3</v>
      </c>
      <c r="T294" s="15">
        <v>2</v>
      </c>
      <c r="U294" s="75" t="s">
        <v>319</v>
      </c>
      <c r="V294" s="17">
        <v>1</v>
      </c>
    </row>
    <row r="295" spans="1:22">
      <c r="A295" s="54" t="s">
        <v>266</v>
      </c>
      <c r="B295" s="54" t="s">
        <v>267</v>
      </c>
      <c r="C295" s="55" t="s">
        <v>112</v>
      </c>
      <c r="D295" s="2" t="s">
        <v>113</v>
      </c>
      <c r="E295" s="59">
        <v>71.7</v>
      </c>
      <c r="F295" s="59">
        <v>90.1</v>
      </c>
      <c r="G295" s="59">
        <v>85.9</v>
      </c>
      <c r="H295" s="59">
        <v>80.55</v>
      </c>
      <c r="I295" s="59">
        <v>86.85</v>
      </c>
      <c r="J295" s="14">
        <f t="shared" si="4"/>
        <v>83.02000000000001</v>
      </c>
      <c r="K295" s="51">
        <v>141</v>
      </c>
      <c r="L295" s="51">
        <v>30</v>
      </c>
      <c r="M295" s="51">
        <v>40</v>
      </c>
      <c r="N295" s="14">
        <f>IF(ROUNDUP(IF(K295 &gt; 132, K295 / 40, K295 / 36), 0) &gt;= 7, 6, ROUNDUP(IF(K295 &gt; 132, K295 / 40, K295 / 36), 0))</f>
        <v>4</v>
      </c>
      <c r="O295" s="28">
        <f>L295*K295</f>
        <v>4230</v>
      </c>
      <c r="P295" s="28">
        <f>K295*M295</f>
        <v>5640</v>
      </c>
      <c r="Q295" s="15">
        <v>0</v>
      </c>
      <c r="R295" s="15">
        <v>1</v>
      </c>
      <c r="S295" s="15">
        <v>3</v>
      </c>
      <c r="T295" s="15">
        <v>1</v>
      </c>
      <c r="U295" s="75" t="s">
        <v>320</v>
      </c>
      <c r="V295" s="17">
        <v>1</v>
      </c>
    </row>
    <row r="296" spans="1:22">
      <c r="A296" s="55" t="s">
        <v>321</v>
      </c>
      <c r="B296" s="54" t="s">
        <v>322</v>
      </c>
      <c r="C296" s="55" t="s">
        <v>243</v>
      </c>
      <c r="D296" s="35" t="s">
        <v>42</v>
      </c>
      <c r="E296" s="59">
        <v>80</v>
      </c>
      <c r="F296" s="59">
        <v>86</v>
      </c>
      <c r="G296" s="59">
        <v>80</v>
      </c>
      <c r="H296" s="59">
        <v>84.1</v>
      </c>
      <c r="I296" s="59">
        <v>80.25</v>
      </c>
      <c r="J296" s="14">
        <f t="shared" si="4"/>
        <v>82.070000000000007</v>
      </c>
      <c r="K296" s="51">
        <v>160</v>
      </c>
      <c r="L296" s="51">
        <v>25</v>
      </c>
      <c r="M296" s="51">
        <v>50</v>
      </c>
      <c r="N296" s="14">
        <f>IF(ROUNDUP(IF(K296 &gt; 132, K296 / 40, K296 / 36), 0) &gt;= 7, 6, ROUNDUP(IF(K296 &gt; 132, K296 / 40, K296 / 36), 0))</f>
        <v>4</v>
      </c>
      <c r="O296" s="28">
        <f>L296*K296</f>
        <v>4000</v>
      </c>
      <c r="P296" s="28">
        <f>K296*M296</f>
        <v>8000</v>
      </c>
      <c r="Q296" s="15">
        <v>1</v>
      </c>
      <c r="R296" s="15">
        <v>3</v>
      </c>
      <c r="S296" s="15">
        <v>3</v>
      </c>
      <c r="T296" s="15">
        <v>1</v>
      </c>
      <c r="U296" s="75" t="s">
        <v>323</v>
      </c>
      <c r="V296" s="17">
        <v>1</v>
      </c>
    </row>
    <row r="297" spans="1:22">
      <c r="A297" s="55" t="s">
        <v>321</v>
      </c>
      <c r="B297" s="54" t="s">
        <v>322</v>
      </c>
      <c r="C297" s="55" t="s">
        <v>324</v>
      </c>
      <c r="D297" s="35" t="s">
        <v>42</v>
      </c>
      <c r="E297" s="59">
        <v>80</v>
      </c>
      <c r="F297" s="59">
        <v>83.8</v>
      </c>
      <c r="G297" s="59">
        <v>82.05</v>
      </c>
      <c r="H297" s="59">
        <v>80.150000000000006</v>
      </c>
      <c r="I297" s="59">
        <v>80</v>
      </c>
      <c r="J297" s="14">
        <f t="shared" si="4"/>
        <v>81.2</v>
      </c>
      <c r="K297" s="51">
        <v>160</v>
      </c>
      <c r="L297" s="51">
        <v>25</v>
      </c>
      <c r="M297" s="51">
        <v>45</v>
      </c>
      <c r="N297" s="14">
        <f>IF(ROUNDUP(IF(K297 &gt; 132, K297 / 40, K297 / 36), 0) &gt;= 7, 6, ROUNDUP(IF(K297 &gt; 132, K297 / 40, K297 / 36), 0))</f>
        <v>4</v>
      </c>
      <c r="O297" s="28">
        <f>L297*K297</f>
        <v>4000</v>
      </c>
      <c r="P297" s="28">
        <f>K297*M297</f>
        <v>7200</v>
      </c>
      <c r="Q297" s="15">
        <v>1</v>
      </c>
      <c r="R297" s="15">
        <v>3</v>
      </c>
      <c r="S297" s="15">
        <v>4</v>
      </c>
      <c r="T297" s="15">
        <v>1</v>
      </c>
      <c r="U297" s="75" t="s">
        <v>325</v>
      </c>
      <c r="V297" s="17">
        <v>1</v>
      </c>
    </row>
    <row r="298" spans="1:22">
      <c r="A298" s="55" t="s">
        <v>321</v>
      </c>
      <c r="B298" s="54" t="s">
        <v>322</v>
      </c>
      <c r="C298" s="55" t="s">
        <v>272</v>
      </c>
      <c r="D298" s="35" t="s">
        <v>42</v>
      </c>
      <c r="E298" s="59">
        <v>80</v>
      </c>
      <c r="F298" s="59">
        <v>80.2</v>
      </c>
      <c r="G298" s="59">
        <v>82.9</v>
      </c>
      <c r="H298" s="15">
        <v>83.1</v>
      </c>
      <c r="I298" s="59">
        <v>89.3</v>
      </c>
      <c r="J298" s="14">
        <f t="shared" si="4"/>
        <v>83.1</v>
      </c>
      <c r="K298" s="51">
        <v>160</v>
      </c>
      <c r="L298" s="51">
        <v>25</v>
      </c>
      <c r="M298" s="51">
        <v>35</v>
      </c>
      <c r="N298" s="14">
        <f>IF(ROUNDUP(IF(K298 &gt; 132, K298 / 40, K298 / 36), 0) &gt;= 7, 6, ROUNDUP(IF(K298 &gt; 132, K298 / 40, K298 / 36), 0))</f>
        <v>4</v>
      </c>
      <c r="O298" s="28">
        <f>L298*K298</f>
        <v>4000</v>
      </c>
      <c r="P298" s="28">
        <f>K298*M298</f>
        <v>5600</v>
      </c>
      <c r="Q298" s="15">
        <v>1</v>
      </c>
      <c r="R298" s="15">
        <v>3</v>
      </c>
      <c r="S298" s="15">
        <v>4</v>
      </c>
      <c r="T298" s="15">
        <v>1</v>
      </c>
      <c r="U298" s="75" t="s">
        <v>326</v>
      </c>
      <c r="V298" s="17">
        <v>1</v>
      </c>
    </row>
    <row r="299" spans="1:22">
      <c r="A299" s="55" t="s">
        <v>321</v>
      </c>
      <c r="B299" s="54" t="s">
        <v>322</v>
      </c>
      <c r="C299" s="55" t="s">
        <v>327</v>
      </c>
      <c r="D299" s="35" t="s">
        <v>42</v>
      </c>
      <c r="E299" s="59">
        <v>80</v>
      </c>
      <c r="F299" s="59">
        <v>80</v>
      </c>
      <c r="G299" s="59">
        <v>80.5</v>
      </c>
      <c r="H299" s="59">
        <v>80.55</v>
      </c>
      <c r="I299" s="59">
        <v>80.099999999999994</v>
      </c>
      <c r="J299" s="14">
        <f t="shared" si="4"/>
        <v>80.22999999999999</v>
      </c>
      <c r="K299" s="51">
        <v>160</v>
      </c>
      <c r="L299" s="51">
        <v>25</v>
      </c>
      <c r="M299" s="51">
        <v>45</v>
      </c>
      <c r="N299" s="14">
        <f>IF(ROUNDUP(IF(K299 &gt; 132, K299 / 40, K299 / 36), 0) &gt;= 7, 6, ROUNDUP(IF(K299 &gt; 132, K299 / 40, K299 / 36), 0))</f>
        <v>4</v>
      </c>
      <c r="O299" s="28">
        <f>L299*K299</f>
        <v>4000</v>
      </c>
      <c r="P299" s="28">
        <f>K299*M299</f>
        <v>7200</v>
      </c>
      <c r="Q299" s="15">
        <v>1</v>
      </c>
      <c r="R299" s="15">
        <v>3</v>
      </c>
      <c r="S299" s="15">
        <v>4</v>
      </c>
      <c r="T299" s="15">
        <v>1</v>
      </c>
      <c r="U299" s="75" t="s">
        <v>328</v>
      </c>
      <c r="V299" s="17">
        <v>1</v>
      </c>
    </row>
    <row r="300" spans="1:22">
      <c r="A300" s="55" t="s">
        <v>321</v>
      </c>
      <c r="B300" s="54" t="s">
        <v>322</v>
      </c>
      <c r="C300" s="55" t="s">
        <v>230</v>
      </c>
      <c r="D300" s="35" t="s">
        <v>42</v>
      </c>
      <c r="E300" s="59">
        <v>80</v>
      </c>
      <c r="F300" s="59">
        <v>80</v>
      </c>
      <c r="G300" s="59">
        <v>80.3</v>
      </c>
      <c r="H300" s="15">
        <v>80.099999999999994</v>
      </c>
      <c r="I300" s="59">
        <v>80.849999999999994</v>
      </c>
      <c r="J300" s="14">
        <f t="shared" si="4"/>
        <v>80.25</v>
      </c>
      <c r="K300" s="51">
        <v>160</v>
      </c>
      <c r="L300" s="51">
        <v>25</v>
      </c>
      <c r="M300" s="51">
        <v>45</v>
      </c>
      <c r="N300" s="14">
        <f>IF(ROUNDUP(IF(K300 &gt; 132, K300 / 40, K300 / 36), 0) &gt;= 7, 6, ROUNDUP(IF(K300 &gt; 132, K300 / 40, K300 / 36), 0))</f>
        <v>4</v>
      </c>
      <c r="O300" s="28">
        <f>L300*K300</f>
        <v>4000</v>
      </c>
      <c r="P300" s="28">
        <f>K300*M300</f>
        <v>7200</v>
      </c>
      <c r="Q300" s="15">
        <v>1</v>
      </c>
      <c r="R300" s="15">
        <v>3</v>
      </c>
      <c r="S300" s="15">
        <v>4</v>
      </c>
      <c r="T300" s="15">
        <v>1</v>
      </c>
      <c r="U300" s="75" t="s">
        <v>282</v>
      </c>
      <c r="V300" s="15">
        <v>1</v>
      </c>
    </row>
    <row r="301" spans="1:22">
      <c r="A301" s="55" t="s">
        <v>321</v>
      </c>
      <c r="B301" s="54" t="s">
        <v>322</v>
      </c>
      <c r="C301" s="55" t="s">
        <v>52</v>
      </c>
      <c r="D301" s="35" t="s">
        <v>42</v>
      </c>
      <c r="E301" s="59">
        <v>80</v>
      </c>
      <c r="F301" s="59">
        <v>80.3</v>
      </c>
      <c r="G301" s="59">
        <v>81.150000000000006</v>
      </c>
      <c r="H301" s="59">
        <v>81.349999999999994</v>
      </c>
      <c r="I301" s="59">
        <v>80</v>
      </c>
      <c r="J301" s="14">
        <f t="shared" si="4"/>
        <v>80.56</v>
      </c>
      <c r="K301" s="51">
        <v>160</v>
      </c>
      <c r="L301" s="51">
        <v>25</v>
      </c>
      <c r="M301" s="51">
        <v>45</v>
      </c>
      <c r="N301" s="14">
        <f>IF(ROUNDUP(IF(K301 &gt; 132, K301 / 40, K301 / 36), 0) &gt;= 7, 6, ROUNDUP(IF(K301 &gt; 132, K301 / 40, K301 / 36), 0))</f>
        <v>4</v>
      </c>
      <c r="O301" s="28">
        <f>L301*K301</f>
        <v>4000</v>
      </c>
      <c r="P301" s="28">
        <f>K301*M301</f>
        <v>7200</v>
      </c>
      <c r="Q301" s="15">
        <v>1</v>
      </c>
      <c r="R301" s="15">
        <v>3</v>
      </c>
      <c r="S301" s="15">
        <v>3</v>
      </c>
      <c r="T301" s="7">
        <v>2</v>
      </c>
      <c r="U301" s="75" t="s">
        <v>329</v>
      </c>
      <c r="V301" s="17">
        <v>1</v>
      </c>
    </row>
    <row r="302" spans="1:22">
      <c r="A302" s="55" t="s">
        <v>321</v>
      </c>
      <c r="B302" s="54" t="s">
        <v>322</v>
      </c>
      <c r="C302" s="55" t="s">
        <v>330</v>
      </c>
      <c r="D302" s="35" t="s">
        <v>42</v>
      </c>
      <c r="E302" s="59">
        <v>80</v>
      </c>
      <c r="F302" s="59">
        <v>80.099999999999994</v>
      </c>
      <c r="G302" s="15">
        <v>80.05</v>
      </c>
      <c r="H302" s="59">
        <v>83.1</v>
      </c>
      <c r="I302" s="59">
        <v>83.25</v>
      </c>
      <c r="J302" s="14">
        <f t="shared" si="4"/>
        <v>81.3</v>
      </c>
      <c r="K302" s="51">
        <v>160</v>
      </c>
      <c r="L302" s="51">
        <v>25</v>
      </c>
      <c r="M302" s="51">
        <v>35</v>
      </c>
      <c r="N302" s="14">
        <f>IF(ROUNDUP(IF(K302 &gt; 132, K302 / 40, K302 / 36), 0) &gt;= 7, 6, ROUNDUP(IF(K302 &gt; 132, K302 / 40, K302 / 36), 0))</f>
        <v>4</v>
      </c>
      <c r="O302" s="28">
        <f>L302*K302</f>
        <v>4000</v>
      </c>
      <c r="P302" s="28">
        <f>K302*M302</f>
        <v>5600</v>
      </c>
      <c r="Q302" s="15">
        <v>1</v>
      </c>
      <c r="R302" s="15">
        <v>3</v>
      </c>
      <c r="S302" s="15">
        <v>3</v>
      </c>
      <c r="T302" s="15">
        <v>1</v>
      </c>
      <c r="U302" s="75" t="s">
        <v>331</v>
      </c>
      <c r="V302" s="17">
        <v>1</v>
      </c>
    </row>
    <row r="303" spans="1:22">
      <c r="A303" s="55" t="s">
        <v>321</v>
      </c>
      <c r="B303" s="54" t="s">
        <v>322</v>
      </c>
      <c r="C303" s="62" t="s">
        <v>332</v>
      </c>
      <c r="D303" s="35" t="s">
        <v>42</v>
      </c>
      <c r="E303" s="59">
        <v>80</v>
      </c>
      <c r="F303" s="59">
        <v>80</v>
      </c>
      <c r="G303" s="59">
        <v>80</v>
      </c>
      <c r="H303" s="59">
        <v>81.05</v>
      </c>
      <c r="I303" s="59">
        <v>80</v>
      </c>
      <c r="J303" s="14">
        <f t="shared" si="4"/>
        <v>80.210000000000008</v>
      </c>
      <c r="K303" s="51">
        <v>160</v>
      </c>
      <c r="L303" s="51">
        <v>25</v>
      </c>
      <c r="M303" s="51">
        <v>45</v>
      </c>
      <c r="N303" s="14">
        <f>IF(ROUNDUP(IF(K303 &gt; 132, K303 / 40, K303 / 36), 0) &gt;= 7, 6, ROUNDUP(IF(K303 &gt; 132, K303 / 40, K303 / 36), 0))</f>
        <v>4</v>
      </c>
      <c r="O303" s="28">
        <f>L303*K303</f>
        <v>4000</v>
      </c>
      <c r="P303" s="28">
        <f>K303*M303</f>
        <v>7200</v>
      </c>
      <c r="Q303" s="15">
        <v>1</v>
      </c>
      <c r="R303" s="15">
        <v>3</v>
      </c>
      <c r="S303" s="15">
        <v>4</v>
      </c>
      <c r="T303" s="15">
        <v>2</v>
      </c>
      <c r="U303" s="75" t="s">
        <v>333</v>
      </c>
      <c r="V303" s="17">
        <v>1</v>
      </c>
    </row>
    <row r="304" spans="1:22">
      <c r="A304" s="55" t="s">
        <v>321</v>
      </c>
      <c r="B304" s="54" t="s">
        <v>322</v>
      </c>
      <c r="C304" s="55" t="s">
        <v>334</v>
      </c>
      <c r="D304" s="35" t="s">
        <v>42</v>
      </c>
      <c r="E304" s="15">
        <v>82.68</v>
      </c>
      <c r="F304" s="59">
        <v>84.2</v>
      </c>
      <c r="G304" s="59">
        <v>80.05</v>
      </c>
      <c r="H304" s="59">
        <v>80</v>
      </c>
      <c r="I304" s="59">
        <v>86.5</v>
      </c>
      <c r="J304" s="14">
        <f t="shared" si="4"/>
        <v>82.686000000000007</v>
      </c>
      <c r="K304" s="51">
        <v>160</v>
      </c>
      <c r="L304" s="51">
        <v>50</v>
      </c>
      <c r="M304" s="51">
        <v>45</v>
      </c>
      <c r="N304" s="14">
        <f>IF(ROUNDUP(IF(K304 &gt; 132, K304 / 40, K304 / 36), 0) &gt;= 7, 6, ROUNDUP(IF(K304 &gt; 132, K304 / 40, K304 / 36), 0))</f>
        <v>4</v>
      </c>
      <c r="O304" s="28">
        <f>L304*K304</f>
        <v>8000</v>
      </c>
      <c r="P304" s="28">
        <f>K304*M304</f>
        <v>7200</v>
      </c>
      <c r="Q304" s="15">
        <v>0</v>
      </c>
      <c r="R304" s="15">
        <v>3</v>
      </c>
      <c r="S304" s="15">
        <v>3</v>
      </c>
      <c r="T304" s="15">
        <v>2</v>
      </c>
      <c r="U304" s="75" t="s">
        <v>335</v>
      </c>
      <c r="V304" s="17">
        <v>1</v>
      </c>
    </row>
    <row r="305" spans="1:22">
      <c r="A305" s="55" t="s">
        <v>321</v>
      </c>
      <c r="B305" s="54" t="s">
        <v>322</v>
      </c>
      <c r="C305" s="55" t="s">
        <v>67</v>
      </c>
      <c r="D305" s="54" t="s">
        <v>59</v>
      </c>
      <c r="E305" s="59">
        <v>65</v>
      </c>
      <c r="F305" s="59">
        <v>65.5</v>
      </c>
      <c r="G305" s="59">
        <v>65.2</v>
      </c>
      <c r="H305" s="59">
        <v>65</v>
      </c>
      <c r="I305" s="59">
        <v>71.95</v>
      </c>
      <c r="J305" s="14">
        <f t="shared" si="4"/>
        <v>66.53</v>
      </c>
      <c r="K305" s="51">
        <v>132</v>
      </c>
      <c r="L305" s="51">
        <v>20</v>
      </c>
      <c r="M305" s="51">
        <v>30</v>
      </c>
      <c r="N305" s="14">
        <f>IF(ROUNDUP(IF(K305 &gt; 132, K305 / 40, K305 / 36), 0) &gt;= 7, 6, ROUNDUP(IF(K305 &gt; 132, K305 / 40, K305 / 36), 0))</f>
        <v>4</v>
      </c>
      <c r="O305" s="28">
        <f>L305*K305</f>
        <v>2640</v>
      </c>
      <c r="P305" s="28">
        <f>K305*M305</f>
        <v>3960</v>
      </c>
      <c r="Q305" s="15">
        <v>1</v>
      </c>
      <c r="R305" s="15">
        <v>1</v>
      </c>
      <c r="S305" s="15">
        <v>4</v>
      </c>
      <c r="T305" s="15">
        <v>1</v>
      </c>
      <c r="U305" s="75" t="s">
        <v>336</v>
      </c>
      <c r="V305" s="17">
        <v>1</v>
      </c>
    </row>
    <row r="306" spans="1:22">
      <c r="A306" s="55" t="s">
        <v>321</v>
      </c>
      <c r="B306" s="54" t="s">
        <v>322</v>
      </c>
      <c r="C306" s="55" t="s">
        <v>337</v>
      </c>
      <c r="D306" s="54" t="s">
        <v>59</v>
      </c>
      <c r="E306" s="59">
        <v>65</v>
      </c>
      <c r="F306" s="59">
        <v>65.099999999999994</v>
      </c>
      <c r="G306" s="59">
        <v>65</v>
      </c>
      <c r="H306" s="59">
        <v>66.150000000000006</v>
      </c>
      <c r="I306" s="59">
        <v>68.95</v>
      </c>
      <c r="J306" s="14">
        <f t="shared" si="4"/>
        <v>66.039999999999992</v>
      </c>
      <c r="K306" s="51">
        <v>132</v>
      </c>
      <c r="L306" s="61">
        <v>20</v>
      </c>
      <c r="M306" s="51">
        <v>30</v>
      </c>
      <c r="N306" s="14">
        <f>IF(ROUNDUP(IF(K306 &gt; 132, K306 / 40, K306 / 36), 0) &gt;= 7, 6, ROUNDUP(IF(K306 &gt; 132, K306 / 40, K306 / 36), 0))</f>
        <v>4</v>
      </c>
      <c r="O306" s="28">
        <f>L306*K306</f>
        <v>2640</v>
      </c>
      <c r="P306" s="28">
        <f>K306*M306</f>
        <v>3960</v>
      </c>
      <c r="Q306" s="15">
        <v>1</v>
      </c>
      <c r="R306" s="57">
        <v>2</v>
      </c>
      <c r="S306" s="15">
        <v>4</v>
      </c>
      <c r="T306" s="15">
        <v>0</v>
      </c>
      <c r="U306" s="75" t="s">
        <v>338</v>
      </c>
      <c r="V306" s="17">
        <v>1</v>
      </c>
    </row>
    <row r="307" spans="1:22">
      <c r="A307" s="55" t="s">
        <v>321</v>
      </c>
      <c r="B307" s="54" t="s">
        <v>322</v>
      </c>
      <c r="C307" s="55" t="s">
        <v>61</v>
      </c>
      <c r="D307" s="54" t="s">
        <v>59</v>
      </c>
      <c r="E307" s="59">
        <v>65</v>
      </c>
      <c r="F307" s="59">
        <v>65.400000000000006</v>
      </c>
      <c r="G307" s="59">
        <v>65</v>
      </c>
      <c r="H307" s="59">
        <v>65</v>
      </c>
      <c r="I307" s="59">
        <v>72.8</v>
      </c>
      <c r="J307" s="14">
        <f t="shared" si="4"/>
        <v>66.64</v>
      </c>
      <c r="K307" s="51">
        <v>132</v>
      </c>
      <c r="L307" s="51">
        <v>20</v>
      </c>
      <c r="M307" s="51">
        <v>30</v>
      </c>
      <c r="N307" s="14">
        <f>IF(ROUNDUP(IF(K307 &gt; 132, K307 / 40, K307 / 36), 0) &gt;= 7, 6, ROUNDUP(IF(K307 &gt; 132, K307 / 40, K307 / 36), 0))</f>
        <v>4</v>
      </c>
      <c r="O307" s="28">
        <f>L307*K307</f>
        <v>2640</v>
      </c>
      <c r="P307" s="28">
        <f>K307*M307</f>
        <v>3960</v>
      </c>
      <c r="Q307" s="15">
        <v>1</v>
      </c>
      <c r="R307" s="15">
        <v>3</v>
      </c>
      <c r="S307" s="15">
        <v>3</v>
      </c>
      <c r="T307" s="7">
        <v>1</v>
      </c>
      <c r="U307" t="s">
        <v>339</v>
      </c>
      <c r="V307" s="15">
        <v>1</v>
      </c>
    </row>
    <row r="308" spans="1:22">
      <c r="A308" s="55" t="s">
        <v>321</v>
      </c>
      <c r="B308" s="54" t="s">
        <v>322</v>
      </c>
      <c r="C308" s="55" t="s">
        <v>340</v>
      </c>
      <c r="D308" s="54" t="s">
        <v>59</v>
      </c>
      <c r="E308" s="59">
        <v>65</v>
      </c>
      <c r="F308" s="59">
        <v>66.099999999999994</v>
      </c>
      <c r="G308" s="59">
        <v>65.25</v>
      </c>
      <c r="H308" s="59">
        <v>65</v>
      </c>
      <c r="I308" s="59">
        <v>75.7</v>
      </c>
      <c r="J308" s="14">
        <f t="shared" si="4"/>
        <v>67.41</v>
      </c>
      <c r="K308" s="51">
        <v>132</v>
      </c>
      <c r="L308" s="51">
        <v>22</v>
      </c>
      <c r="M308" s="51">
        <v>40</v>
      </c>
      <c r="N308" s="14">
        <f>IF(ROUNDUP(IF(K308 &gt; 132, K308 / 40, K308 / 36), 0) &gt;= 7, 6, ROUNDUP(IF(K308 &gt; 132, K308 / 40, K308 / 36), 0))</f>
        <v>4</v>
      </c>
      <c r="O308" s="28">
        <f>L308*K308</f>
        <v>2904</v>
      </c>
      <c r="P308" s="28">
        <f>K308*M308</f>
        <v>5280</v>
      </c>
      <c r="Q308" s="15">
        <v>0</v>
      </c>
      <c r="R308" s="15">
        <v>3</v>
      </c>
      <c r="S308" s="15">
        <v>3</v>
      </c>
      <c r="T308" s="15">
        <v>2</v>
      </c>
      <c r="U308" s="75" t="s">
        <v>341</v>
      </c>
      <c r="V308" s="17">
        <v>1</v>
      </c>
    </row>
    <row r="309" spans="1:22">
      <c r="A309" s="55" t="s">
        <v>321</v>
      </c>
      <c r="B309" s="54" t="s">
        <v>322</v>
      </c>
      <c r="C309" s="55" t="s">
        <v>342</v>
      </c>
      <c r="D309" s="54" t="s">
        <v>59</v>
      </c>
      <c r="E309" s="15">
        <v>76</v>
      </c>
      <c r="F309" s="15">
        <v>77.16</v>
      </c>
      <c r="G309" s="59">
        <v>79.099999999999994</v>
      </c>
      <c r="H309" s="15">
        <v>77.55</v>
      </c>
      <c r="I309" s="59">
        <v>76</v>
      </c>
      <c r="J309" s="14">
        <f t="shared" si="4"/>
        <v>77.162000000000006</v>
      </c>
      <c r="K309" s="51">
        <v>132</v>
      </c>
      <c r="L309" s="51">
        <v>20</v>
      </c>
      <c r="M309" s="51">
        <v>40</v>
      </c>
      <c r="N309" s="14">
        <f>IF(ROUNDUP(IF(K309 &gt; 132, K309 / 40, K309 / 36), 0) &gt;= 7, 6, ROUNDUP(IF(K309 &gt; 132, K309 / 40, K309 / 36), 0))</f>
        <v>4</v>
      </c>
      <c r="O309" s="28">
        <f>L309*K309</f>
        <v>2640</v>
      </c>
      <c r="P309" s="28">
        <f>K309*M309</f>
        <v>5280</v>
      </c>
      <c r="Q309" s="15">
        <v>0</v>
      </c>
      <c r="R309" s="15">
        <v>1</v>
      </c>
      <c r="S309" s="15">
        <v>3</v>
      </c>
      <c r="T309" s="15">
        <v>1</v>
      </c>
      <c r="U309" s="75" t="s">
        <v>343</v>
      </c>
      <c r="V309" s="17">
        <v>1</v>
      </c>
    </row>
    <row r="310" spans="1:22">
      <c r="A310" s="55" t="s">
        <v>321</v>
      </c>
      <c r="B310" s="54" t="s">
        <v>322</v>
      </c>
      <c r="C310" s="55" t="s">
        <v>344</v>
      </c>
      <c r="D310" s="54" t="s">
        <v>88</v>
      </c>
      <c r="E310" s="59">
        <v>65</v>
      </c>
      <c r="F310" s="59">
        <v>84.2</v>
      </c>
      <c r="G310" s="59">
        <v>77.650000000000006</v>
      </c>
      <c r="H310" s="59">
        <v>65</v>
      </c>
      <c r="I310" s="59">
        <v>85.4</v>
      </c>
      <c r="J310" s="14">
        <f t="shared" si="4"/>
        <v>75.45</v>
      </c>
      <c r="K310" s="51">
        <v>132</v>
      </c>
      <c r="L310" s="51">
        <v>16</v>
      </c>
      <c r="M310" s="51">
        <v>35</v>
      </c>
      <c r="N310" s="14">
        <f>IF(ROUNDUP(IF(K310 &gt; 132, K310 / 40, K310 / 36), 0) &gt;= 7, 6, ROUNDUP(IF(K310 &gt; 132, K310 / 40, K310 / 36), 0))</f>
        <v>4</v>
      </c>
      <c r="O310" s="28">
        <f>L310*K310</f>
        <v>2112</v>
      </c>
      <c r="P310" s="28">
        <f>K310*M310</f>
        <v>4620</v>
      </c>
      <c r="Q310" s="15">
        <v>0</v>
      </c>
      <c r="R310" s="15">
        <v>1</v>
      </c>
      <c r="S310" s="15">
        <v>2</v>
      </c>
      <c r="T310" s="15">
        <v>1</v>
      </c>
      <c r="U310" s="75" t="s">
        <v>296</v>
      </c>
      <c r="V310" s="17">
        <v>1</v>
      </c>
    </row>
    <row r="311" spans="1:22">
      <c r="A311" s="55" t="s">
        <v>321</v>
      </c>
      <c r="B311" s="54" t="s">
        <v>322</v>
      </c>
      <c r="C311" s="55" t="s">
        <v>87</v>
      </c>
      <c r="D311" s="54" t="s">
        <v>88</v>
      </c>
      <c r="E311" s="59">
        <v>65</v>
      </c>
      <c r="F311" s="59">
        <v>82.7</v>
      </c>
      <c r="G311" s="59">
        <v>75.25</v>
      </c>
      <c r="H311" s="59">
        <v>66.900000000000006</v>
      </c>
      <c r="I311" s="59">
        <v>74.400000000000006</v>
      </c>
      <c r="J311" s="14">
        <f t="shared" si="4"/>
        <v>72.849999999999994</v>
      </c>
      <c r="K311" s="51">
        <v>132</v>
      </c>
      <c r="L311" s="51">
        <v>16</v>
      </c>
      <c r="M311" s="51">
        <v>35</v>
      </c>
      <c r="N311" s="14">
        <f>IF(ROUNDUP(IF(K311 &gt; 132, K311 / 40, K311 / 36), 0) &gt;= 7, 6, ROUNDUP(IF(K311 &gt; 132, K311 / 40, K311 / 36), 0))</f>
        <v>4</v>
      </c>
      <c r="O311" s="28">
        <f>L311*K311</f>
        <v>2112</v>
      </c>
      <c r="P311" s="28">
        <f>K311*M311</f>
        <v>4620</v>
      </c>
      <c r="Q311" s="7">
        <v>1</v>
      </c>
      <c r="R311" s="15">
        <v>1</v>
      </c>
      <c r="S311" s="15">
        <v>2</v>
      </c>
      <c r="T311" s="15">
        <v>1</v>
      </c>
      <c r="U311" s="75" t="s">
        <v>345</v>
      </c>
      <c r="V311" s="17">
        <v>1</v>
      </c>
    </row>
    <row r="312" spans="1:22">
      <c r="A312" s="55" t="s">
        <v>321</v>
      </c>
      <c r="B312" s="54" t="s">
        <v>322</v>
      </c>
      <c r="C312" s="55" t="s">
        <v>100</v>
      </c>
      <c r="D312" s="54" t="s">
        <v>88</v>
      </c>
      <c r="E312" s="59">
        <v>65</v>
      </c>
      <c r="F312" s="59">
        <v>65</v>
      </c>
      <c r="G312" s="59">
        <v>65</v>
      </c>
      <c r="H312" s="59">
        <v>65</v>
      </c>
      <c r="I312" s="59">
        <v>77.3</v>
      </c>
      <c r="J312" s="14">
        <f t="shared" si="4"/>
        <v>67.460000000000008</v>
      </c>
      <c r="K312" s="51">
        <v>132</v>
      </c>
      <c r="L312" s="51">
        <v>16</v>
      </c>
      <c r="M312" s="51">
        <v>30</v>
      </c>
      <c r="N312" s="14">
        <f>IF(ROUNDUP(IF(K312 &gt; 132, K312 / 40, K312 / 36), 0) &gt;= 7, 6, ROUNDUP(IF(K312 &gt; 132, K312 / 40, K312 / 36), 0))</f>
        <v>4</v>
      </c>
      <c r="O312" s="28">
        <f>L312*K312</f>
        <v>2112</v>
      </c>
      <c r="P312" s="28">
        <f>K312*M312</f>
        <v>3960</v>
      </c>
      <c r="Q312" s="7">
        <v>0</v>
      </c>
      <c r="R312" s="15">
        <v>3</v>
      </c>
      <c r="S312" s="15">
        <v>3</v>
      </c>
      <c r="T312" s="15">
        <v>2</v>
      </c>
      <c r="U312" s="75" t="s">
        <v>346</v>
      </c>
      <c r="V312" s="17">
        <v>1</v>
      </c>
    </row>
    <row r="313" spans="1:22">
      <c r="A313" s="55" t="s">
        <v>321</v>
      </c>
      <c r="B313" s="54" t="s">
        <v>322</v>
      </c>
      <c r="C313" s="55" t="s">
        <v>347</v>
      </c>
      <c r="D313" s="30" t="s">
        <v>120</v>
      </c>
      <c r="E313" s="59">
        <v>65</v>
      </c>
      <c r="F313" s="59">
        <v>65</v>
      </c>
      <c r="G313" s="59">
        <v>71.599999999999994</v>
      </c>
      <c r="H313" s="59">
        <v>65.099999999999994</v>
      </c>
      <c r="I313" s="59">
        <v>79.45</v>
      </c>
      <c r="J313" s="14">
        <f t="shared" si="4"/>
        <v>69.22999999999999</v>
      </c>
      <c r="K313" s="51">
        <v>132</v>
      </c>
      <c r="L313" s="51">
        <v>16</v>
      </c>
      <c r="M313" s="51">
        <v>40</v>
      </c>
      <c r="N313" s="14">
        <f>IF(ROUNDUP(IF(K313 &gt; 132, K313 / 40, K313 / 36), 0) &gt;= 7, 6, ROUNDUP(IF(K313 &gt; 132, K313 / 40, K313 / 36), 0))</f>
        <v>4</v>
      </c>
      <c r="O313" s="28">
        <f>L313*K313</f>
        <v>2112</v>
      </c>
      <c r="P313" s="28">
        <f>K313*M313</f>
        <v>5280</v>
      </c>
      <c r="Q313" s="15">
        <v>0</v>
      </c>
      <c r="R313" s="15">
        <v>1</v>
      </c>
      <c r="S313" s="15">
        <v>3</v>
      </c>
      <c r="T313" s="15">
        <v>1</v>
      </c>
      <c r="U313" s="75" t="s">
        <v>348</v>
      </c>
      <c r="V313" s="17">
        <v>1</v>
      </c>
    </row>
    <row r="314" spans="1:22">
      <c r="A314" s="55" t="s">
        <v>321</v>
      </c>
      <c r="B314" s="54" t="s">
        <v>322</v>
      </c>
      <c r="C314" s="55" t="s">
        <v>122</v>
      </c>
      <c r="D314" s="2" t="s">
        <v>120</v>
      </c>
      <c r="E314" s="59">
        <v>65</v>
      </c>
      <c r="F314" s="59">
        <v>65.099999999999994</v>
      </c>
      <c r="G314" s="59">
        <v>71.5</v>
      </c>
      <c r="H314" s="59">
        <v>65.05</v>
      </c>
      <c r="I314" s="59">
        <v>81.5</v>
      </c>
      <c r="J314" s="14">
        <f t="shared" si="4"/>
        <v>69.63</v>
      </c>
      <c r="K314" s="51">
        <v>132</v>
      </c>
      <c r="L314" s="51">
        <v>16</v>
      </c>
      <c r="M314" s="51">
        <v>40</v>
      </c>
      <c r="N314" s="14">
        <f>IF(ROUNDUP(IF(K314 &gt; 132, K314 / 40, K314 / 36), 0) &gt;= 7, 6, ROUNDUP(IF(K314 &gt; 132, K314 / 40, K314 / 36), 0))</f>
        <v>4</v>
      </c>
      <c r="O314" s="28">
        <f>L314*K314</f>
        <v>2112</v>
      </c>
      <c r="P314" s="28">
        <f>K314*M314</f>
        <v>5280</v>
      </c>
      <c r="Q314" s="15">
        <v>0</v>
      </c>
      <c r="R314" s="15">
        <v>1</v>
      </c>
      <c r="S314" s="15">
        <v>3</v>
      </c>
      <c r="T314" s="15">
        <v>1</v>
      </c>
      <c r="U314" s="75" t="s">
        <v>349</v>
      </c>
      <c r="V314" s="15">
        <v>1</v>
      </c>
    </row>
    <row r="315" spans="1:22">
      <c r="A315" s="55" t="s">
        <v>321</v>
      </c>
      <c r="B315" s="54" t="s">
        <v>322</v>
      </c>
      <c r="C315" s="55" t="s">
        <v>312</v>
      </c>
      <c r="D315" s="2" t="s">
        <v>120</v>
      </c>
      <c r="E315" s="67">
        <v>65</v>
      </c>
      <c r="F315" s="67">
        <v>65.2</v>
      </c>
      <c r="G315" s="68">
        <v>69.3</v>
      </c>
      <c r="H315" s="68">
        <v>69.3</v>
      </c>
      <c r="I315" s="67">
        <v>73.400000000000006</v>
      </c>
      <c r="J315" s="14">
        <f t="shared" si="4"/>
        <v>68.440000000000012</v>
      </c>
      <c r="K315" s="51">
        <v>132</v>
      </c>
      <c r="L315" s="51">
        <v>16</v>
      </c>
      <c r="M315" s="51">
        <v>40</v>
      </c>
      <c r="N315" s="14">
        <f>IF(ROUNDUP(IF(K315 &gt; 132, K315 / 40, K315 / 36), 0) &gt;= 7, 6, ROUNDUP(IF(K315 &gt; 132, K315 / 40, K315 / 36), 0))</f>
        <v>4</v>
      </c>
      <c r="O315" s="28">
        <f>L315*K315</f>
        <v>2112</v>
      </c>
      <c r="P315" s="28">
        <f>K315*M315</f>
        <v>5280</v>
      </c>
      <c r="Q315" s="15">
        <v>1</v>
      </c>
      <c r="R315" s="15">
        <v>1</v>
      </c>
      <c r="S315" s="7">
        <v>3</v>
      </c>
      <c r="T315" s="15">
        <v>1</v>
      </c>
      <c r="U315" s="75" t="s">
        <v>350</v>
      </c>
      <c r="V315" s="17">
        <v>1</v>
      </c>
    </row>
    <row r="316" spans="1:22">
      <c r="A316" s="55" t="s">
        <v>351</v>
      </c>
      <c r="B316" s="55" t="s">
        <v>352</v>
      </c>
      <c r="C316" s="55" t="s">
        <v>353</v>
      </c>
      <c r="D316" s="64" t="s">
        <v>25</v>
      </c>
      <c r="E316" s="59">
        <v>97</v>
      </c>
      <c r="F316" s="59">
        <v>98.4</v>
      </c>
      <c r="G316" s="59">
        <v>93.9</v>
      </c>
      <c r="H316" s="59">
        <v>94.95</v>
      </c>
      <c r="I316" s="59">
        <v>96.8</v>
      </c>
      <c r="J316" s="14">
        <f t="shared" si="4"/>
        <v>96.210000000000008</v>
      </c>
      <c r="K316" s="51">
        <v>257</v>
      </c>
      <c r="L316" s="51">
        <v>100</v>
      </c>
      <c r="M316" s="51">
        <v>200</v>
      </c>
      <c r="N316" s="14">
        <f>IF(ROUNDUP(IF(K316 &gt; 132, K316 / 40, K316 / 36), 0) &gt;= 7, 6, ROUNDUP(IF(K316 &gt; 132, K316 / 40, K316 / 36), 0))</f>
        <v>6</v>
      </c>
      <c r="O316" s="28">
        <f>L316*K316</f>
        <v>25700</v>
      </c>
      <c r="P316" s="28">
        <f>K316*M316</f>
        <v>51400</v>
      </c>
      <c r="Q316" s="15">
        <v>1</v>
      </c>
      <c r="R316" s="15">
        <v>4</v>
      </c>
      <c r="S316" s="15">
        <v>4</v>
      </c>
      <c r="T316" s="15">
        <v>2</v>
      </c>
      <c r="U316" s="75" t="s">
        <v>354</v>
      </c>
      <c r="V316" s="17">
        <v>1</v>
      </c>
    </row>
    <row r="317" spans="1:22">
      <c r="A317" s="55" t="s">
        <v>351</v>
      </c>
      <c r="B317" s="55" t="s">
        <v>352</v>
      </c>
      <c r="C317" s="55" t="s">
        <v>268</v>
      </c>
      <c r="D317" s="64" t="s">
        <v>25</v>
      </c>
      <c r="E317" s="59">
        <v>87.9</v>
      </c>
      <c r="F317" s="59">
        <v>94</v>
      </c>
      <c r="G317" s="59">
        <v>84.6</v>
      </c>
      <c r="H317" s="59">
        <v>87.95</v>
      </c>
      <c r="I317" s="59">
        <v>91.8</v>
      </c>
      <c r="J317" s="14">
        <f t="shared" si="4"/>
        <v>89.25</v>
      </c>
      <c r="K317" s="51">
        <v>136</v>
      </c>
      <c r="L317" s="51">
        <v>35</v>
      </c>
      <c r="M317" s="51">
        <v>55</v>
      </c>
      <c r="N317" s="14">
        <f>IF(ROUNDUP(IF(K317 &gt; 132, K317 / 40, K317 / 36), 0) &gt;= 7, 6, ROUNDUP(IF(K317 &gt; 132, K317 / 40, K317 / 36), 0))</f>
        <v>4</v>
      </c>
      <c r="O317" s="28">
        <f>L317*K317</f>
        <v>4760</v>
      </c>
      <c r="P317" s="28">
        <f>K317*M317</f>
        <v>7480</v>
      </c>
      <c r="Q317" s="15">
        <v>1</v>
      </c>
      <c r="R317" s="15">
        <v>4</v>
      </c>
      <c r="S317" s="15">
        <v>3</v>
      </c>
      <c r="T317" s="15">
        <v>2</v>
      </c>
      <c r="U317" s="75" t="s">
        <v>355</v>
      </c>
      <c r="V317" s="17">
        <v>1</v>
      </c>
    </row>
    <row r="318" spans="1:22">
      <c r="A318" s="55" t="s">
        <v>351</v>
      </c>
      <c r="B318" s="55" t="s">
        <v>352</v>
      </c>
      <c r="C318" s="55" t="s">
        <v>356</v>
      </c>
      <c r="D318" s="65" t="s">
        <v>42</v>
      </c>
      <c r="E318" s="59">
        <v>80</v>
      </c>
      <c r="F318" s="59">
        <v>85.7</v>
      </c>
      <c r="G318" s="59">
        <v>80.05</v>
      </c>
      <c r="H318" s="59">
        <v>81.2</v>
      </c>
      <c r="I318" s="59">
        <v>80</v>
      </c>
      <c r="J318" s="14">
        <f t="shared" si="4"/>
        <v>81.39</v>
      </c>
      <c r="K318" s="51">
        <v>160</v>
      </c>
      <c r="L318" s="51">
        <v>40</v>
      </c>
      <c r="M318" s="51">
        <v>60</v>
      </c>
      <c r="N318" s="14">
        <f>IF(ROUNDUP(IF(K318 &gt; 132, K318 / 40, K318 / 36), 0) &gt;= 7, 6, ROUNDUP(IF(K318 &gt; 132, K318 / 40, K318 / 36), 0))</f>
        <v>4</v>
      </c>
      <c r="O318" s="28">
        <f>L318*K318</f>
        <v>6400</v>
      </c>
      <c r="P318" s="28">
        <f>K318*M318</f>
        <v>9600</v>
      </c>
      <c r="Q318" s="15">
        <v>1</v>
      </c>
      <c r="R318" s="15">
        <v>3</v>
      </c>
      <c r="S318" s="15">
        <v>4</v>
      </c>
      <c r="T318" s="15">
        <v>1</v>
      </c>
      <c r="U318" s="75" t="s">
        <v>357</v>
      </c>
      <c r="V318" s="17">
        <v>1</v>
      </c>
    </row>
    <row r="319" spans="1:22">
      <c r="A319" s="55" t="s">
        <v>351</v>
      </c>
      <c r="B319" s="55" t="s">
        <v>352</v>
      </c>
      <c r="C319" s="55" t="s">
        <v>283</v>
      </c>
      <c r="D319" s="65" t="s">
        <v>42</v>
      </c>
      <c r="E319" s="59">
        <v>80.900000000000006</v>
      </c>
      <c r="F319" s="15">
        <v>89.55</v>
      </c>
      <c r="G319" s="15">
        <v>80.27</v>
      </c>
      <c r="H319" s="15">
        <v>80.02</v>
      </c>
      <c r="I319" s="15">
        <v>82.3</v>
      </c>
      <c r="J319" s="14">
        <f t="shared" si="4"/>
        <v>82.60799999999999</v>
      </c>
      <c r="K319" s="51">
        <v>160</v>
      </c>
      <c r="L319" s="51">
        <v>45</v>
      </c>
      <c r="M319" s="51">
        <v>60</v>
      </c>
      <c r="N319" s="14">
        <f>IF(ROUNDUP(IF(K319 &gt; 132, K319 / 40, K319 / 36), 0) &gt;= 7, 6, ROUNDUP(IF(K319 &gt; 132, K319 / 40, K319 / 36), 0))</f>
        <v>4</v>
      </c>
      <c r="O319" s="28">
        <f>L319*K319</f>
        <v>7200</v>
      </c>
      <c r="P319" s="28">
        <f>K319*M319</f>
        <v>9600</v>
      </c>
      <c r="Q319" s="15">
        <v>1</v>
      </c>
      <c r="R319" s="15">
        <v>3</v>
      </c>
      <c r="S319" s="15">
        <v>4</v>
      </c>
      <c r="T319" s="15">
        <v>1</v>
      </c>
      <c r="U319" s="75" t="s">
        <v>246</v>
      </c>
      <c r="V319" s="17">
        <v>1</v>
      </c>
    </row>
    <row r="320" spans="1:22">
      <c r="A320" s="55" t="s">
        <v>351</v>
      </c>
      <c r="B320" s="55" t="s">
        <v>352</v>
      </c>
      <c r="C320" s="55" t="s">
        <v>230</v>
      </c>
      <c r="D320" s="65" t="s">
        <v>42</v>
      </c>
      <c r="E320" s="59">
        <v>80</v>
      </c>
      <c r="F320" s="59">
        <v>88.9</v>
      </c>
      <c r="G320" s="59">
        <v>80.099999999999994</v>
      </c>
      <c r="H320" s="59">
        <v>80</v>
      </c>
      <c r="I320" s="59">
        <v>81.099999999999994</v>
      </c>
      <c r="J320" s="14">
        <f t="shared" si="4"/>
        <v>82.02000000000001</v>
      </c>
      <c r="K320" s="51">
        <v>160</v>
      </c>
      <c r="L320" s="51">
        <v>30</v>
      </c>
      <c r="M320" s="51">
        <v>60</v>
      </c>
      <c r="N320" s="14">
        <f>IF(ROUNDUP(IF(K320 &gt; 132, K320 / 40, K320 / 36), 0) &gt;= 7, 6, ROUNDUP(IF(K320 &gt; 132, K320 / 40, K320 / 36), 0))</f>
        <v>4</v>
      </c>
      <c r="O320" s="28">
        <f>L320*K320</f>
        <v>4800</v>
      </c>
      <c r="P320" s="28">
        <f>K320*M320</f>
        <v>9600</v>
      </c>
      <c r="Q320" s="15">
        <v>1</v>
      </c>
      <c r="R320" s="15">
        <v>3</v>
      </c>
      <c r="S320" s="15">
        <v>4</v>
      </c>
      <c r="T320" s="15">
        <v>1</v>
      </c>
      <c r="U320" s="75" t="s">
        <v>282</v>
      </c>
      <c r="V320" s="17">
        <v>1</v>
      </c>
    </row>
    <row r="321" spans="1:22">
      <c r="A321" s="55" t="s">
        <v>351</v>
      </c>
      <c r="B321" s="55" t="s">
        <v>352</v>
      </c>
      <c r="C321" s="55" t="s">
        <v>358</v>
      </c>
      <c r="D321" s="65" t="s">
        <v>42</v>
      </c>
      <c r="E321" s="59">
        <v>80</v>
      </c>
      <c r="F321" s="59">
        <v>88.9</v>
      </c>
      <c r="G321" s="59">
        <v>80</v>
      </c>
      <c r="H321" s="59">
        <v>80</v>
      </c>
      <c r="I321" s="59">
        <v>83.75</v>
      </c>
      <c r="J321" s="14">
        <f t="shared" si="4"/>
        <v>82.53</v>
      </c>
      <c r="K321" s="51">
        <v>160</v>
      </c>
      <c r="L321" s="51">
        <v>30</v>
      </c>
      <c r="M321" s="51">
        <v>60</v>
      </c>
      <c r="N321" s="14">
        <f>IF(ROUNDUP(IF(K321 &gt; 132, K321 / 40, K321 / 36), 0) &gt;= 7, 6, ROUNDUP(IF(K321 &gt; 132, K321 / 40, K321 / 36), 0))</f>
        <v>4</v>
      </c>
      <c r="O321" s="28">
        <f>L321*K321</f>
        <v>4800</v>
      </c>
      <c r="P321" s="28">
        <f>K321*M321</f>
        <v>9600</v>
      </c>
      <c r="Q321" s="15">
        <v>1</v>
      </c>
      <c r="R321" s="15">
        <v>3</v>
      </c>
      <c r="S321" s="15">
        <v>4</v>
      </c>
      <c r="T321" s="15">
        <v>2</v>
      </c>
      <c r="U321" s="75" t="s">
        <v>359</v>
      </c>
      <c r="V321" s="15">
        <v>1</v>
      </c>
    </row>
    <row r="322" spans="1:22">
      <c r="A322" s="55" t="s">
        <v>351</v>
      </c>
      <c r="B322" s="55" t="s">
        <v>352</v>
      </c>
      <c r="C322" s="55" t="s">
        <v>243</v>
      </c>
      <c r="D322" s="65" t="s">
        <v>42</v>
      </c>
      <c r="E322" s="59">
        <v>86.7</v>
      </c>
      <c r="F322" s="59">
        <v>93.6</v>
      </c>
      <c r="G322" s="59">
        <v>80.05</v>
      </c>
      <c r="H322" s="59">
        <v>80.05</v>
      </c>
      <c r="I322" s="59">
        <v>83.7</v>
      </c>
      <c r="J322" s="14">
        <f t="shared" si="4"/>
        <v>84.820000000000007</v>
      </c>
      <c r="K322" s="51">
        <v>160</v>
      </c>
      <c r="L322" s="51">
        <v>30</v>
      </c>
      <c r="M322" s="51">
        <v>80</v>
      </c>
      <c r="N322" s="14">
        <f>IF(ROUNDUP(IF(K322 &gt; 132, K322 / 40, K322 / 36), 0) &gt;= 7, 6, ROUNDUP(IF(K322 &gt; 132, K322 / 40, K322 / 36), 0))</f>
        <v>4</v>
      </c>
      <c r="O322" s="28">
        <f>L322*K322</f>
        <v>4800</v>
      </c>
      <c r="P322" s="28">
        <f>K322*M322</f>
        <v>12800</v>
      </c>
      <c r="Q322" s="15">
        <v>1</v>
      </c>
      <c r="R322" s="15">
        <v>3</v>
      </c>
      <c r="S322" s="15">
        <v>3</v>
      </c>
      <c r="T322" s="15">
        <v>1</v>
      </c>
      <c r="U322" s="75" t="s">
        <v>360</v>
      </c>
      <c r="V322" s="17">
        <v>1</v>
      </c>
    </row>
    <row r="323" spans="1:22">
      <c r="A323" s="55" t="s">
        <v>351</v>
      </c>
      <c r="B323" s="55" t="s">
        <v>352</v>
      </c>
      <c r="C323" s="55" t="s">
        <v>79</v>
      </c>
      <c r="D323" s="64" t="s">
        <v>59</v>
      </c>
      <c r="E323" s="59">
        <v>65</v>
      </c>
      <c r="F323" s="59">
        <v>83.1</v>
      </c>
      <c r="G323" s="59">
        <v>78.05</v>
      </c>
      <c r="H323" s="59">
        <v>77.05</v>
      </c>
      <c r="I323" s="59">
        <v>88.8</v>
      </c>
      <c r="J323" s="14">
        <f t="shared" ref="J323:J385" si="5">AVERAGE(E323:I323)</f>
        <v>78.400000000000006</v>
      </c>
      <c r="K323" s="51">
        <v>132</v>
      </c>
      <c r="L323" s="51">
        <v>35</v>
      </c>
      <c r="M323" s="51">
        <v>60</v>
      </c>
      <c r="N323" s="14">
        <f>IF(ROUNDUP(IF(K323 &gt; 132, K323 / 40, K323 / 36), 0) &gt;= 7, 6, ROUNDUP(IF(K323 &gt; 132, K323 / 40, K323 / 36), 0))</f>
        <v>4</v>
      </c>
      <c r="O323" s="28">
        <f>L323*K323</f>
        <v>4620</v>
      </c>
      <c r="P323" s="28">
        <f>K323*M323</f>
        <v>7920</v>
      </c>
      <c r="Q323" s="15">
        <v>1</v>
      </c>
      <c r="R323" s="15">
        <v>3</v>
      </c>
      <c r="S323" s="15">
        <v>3</v>
      </c>
      <c r="T323" s="15">
        <v>2</v>
      </c>
      <c r="U323" s="75" t="s">
        <v>361</v>
      </c>
      <c r="V323" s="17">
        <v>1</v>
      </c>
    </row>
    <row r="324" spans="1:22">
      <c r="A324" s="55" t="s">
        <v>351</v>
      </c>
      <c r="B324" s="55" t="s">
        <v>352</v>
      </c>
      <c r="C324" s="55" t="s">
        <v>77</v>
      </c>
      <c r="D324" s="64" t="s">
        <v>59</v>
      </c>
      <c r="E324" s="59">
        <v>76.3</v>
      </c>
      <c r="F324" s="59">
        <v>88.4</v>
      </c>
      <c r="G324" s="59">
        <v>80.45</v>
      </c>
      <c r="H324" s="59">
        <v>83.85</v>
      </c>
      <c r="I324" s="59">
        <v>89.8</v>
      </c>
      <c r="J324" s="14">
        <f t="shared" si="5"/>
        <v>83.76</v>
      </c>
      <c r="K324" s="51">
        <v>160</v>
      </c>
      <c r="L324" s="51">
        <v>45</v>
      </c>
      <c r="M324" s="51">
        <v>80</v>
      </c>
      <c r="N324" s="14">
        <f>IF(ROUNDUP(IF(K324 &gt; 132, K324 / 40, K324 / 36), 0) &gt;= 7, 6, ROUNDUP(IF(K324 &gt; 132, K324 / 40, K324 / 36), 0))</f>
        <v>4</v>
      </c>
      <c r="O324" s="28">
        <f>L324*K324</f>
        <v>7200</v>
      </c>
      <c r="P324" s="28">
        <f>K324*M324</f>
        <v>12800</v>
      </c>
      <c r="Q324" s="15">
        <v>1</v>
      </c>
      <c r="R324" s="15">
        <v>3</v>
      </c>
      <c r="S324" s="15">
        <v>3</v>
      </c>
      <c r="T324" s="15">
        <v>2</v>
      </c>
      <c r="U324" s="75" t="s">
        <v>362</v>
      </c>
      <c r="V324" s="17">
        <v>1</v>
      </c>
    </row>
    <row r="325" spans="1:22">
      <c r="A325" s="55" t="s">
        <v>351</v>
      </c>
      <c r="B325" s="55" t="s">
        <v>352</v>
      </c>
      <c r="C325" s="55" t="s">
        <v>285</v>
      </c>
      <c r="D325" s="64" t="s">
        <v>59</v>
      </c>
      <c r="E325" s="59">
        <v>71.099999999999994</v>
      </c>
      <c r="F325" s="59">
        <v>88.7</v>
      </c>
      <c r="G325" s="59">
        <v>79.5</v>
      </c>
      <c r="H325" s="59">
        <v>82.7</v>
      </c>
      <c r="I325" s="59">
        <v>93.1</v>
      </c>
      <c r="J325" s="14">
        <f t="shared" si="5"/>
        <v>83.02000000000001</v>
      </c>
      <c r="K325" s="51">
        <v>132</v>
      </c>
      <c r="L325" s="51">
        <v>35</v>
      </c>
      <c r="M325" s="51">
        <v>60</v>
      </c>
      <c r="N325" s="14">
        <f>IF(ROUNDUP(IF(K326 &gt; 132, K326 / 40, K326 / 36), 0) &gt;= 7, 6, ROUNDUP(IF(K326 &gt; 132, K326 / 40, K326 / 36), 0))</f>
        <v>4</v>
      </c>
      <c r="O325" s="28">
        <f>L325*K326</f>
        <v>4620</v>
      </c>
      <c r="P325" s="28">
        <f>K326*M325</f>
        <v>7920</v>
      </c>
      <c r="Q325" s="15">
        <v>1</v>
      </c>
      <c r="R325" s="15">
        <v>3</v>
      </c>
      <c r="S325" s="15">
        <v>3</v>
      </c>
      <c r="T325" s="15">
        <v>2</v>
      </c>
      <c r="U325" s="75" t="s">
        <v>363</v>
      </c>
      <c r="V325" s="17">
        <v>1</v>
      </c>
    </row>
    <row r="326" spans="1:22">
      <c r="A326" s="55" t="s">
        <v>351</v>
      </c>
      <c r="B326" s="55" t="s">
        <v>352</v>
      </c>
      <c r="C326" s="55" t="s">
        <v>364</v>
      </c>
      <c r="D326" s="64" t="s">
        <v>59</v>
      </c>
      <c r="E326" s="59">
        <v>68.8</v>
      </c>
      <c r="F326" s="59">
        <v>89.2</v>
      </c>
      <c r="G326" s="59">
        <v>79.349999999999994</v>
      </c>
      <c r="H326" s="59">
        <v>78.25</v>
      </c>
      <c r="I326" s="59">
        <v>89.15</v>
      </c>
      <c r="J326" s="14">
        <f t="shared" si="5"/>
        <v>80.95</v>
      </c>
      <c r="K326" s="51">
        <v>132</v>
      </c>
      <c r="L326" s="51">
        <v>60</v>
      </c>
      <c r="M326" s="51">
        <v>80</v>
      </c>
      <c r="N326" s="14">
        <f>IF(ROUNDUP(IF(K327 &gt; 132, K327 / 40, K327 / 36), 0) &gt;= 7, 6, ROUNDUP(IF(K327 &gt; 132, K327 / 40, K327 / 36), 0))</f>
        <v>4</v>
      </c>
      <c r="O326" s="28">
        <f>L326*K327</f>
        <v>7920</v>
      </c>
      <c r="P326" s="28">
        <f>K327*M326</f>
        <v>10560</v>
      </c>
      <c r="Q326" s="15">
        <v>1</v>
      </c>
      <c r="R326" s="15">
        <v>3</v>
      </c>
      <c r="S326" s="15">
        <v>3</v>
      </c>
      <c r="T326" s="15">
        <v>2</v>
      </c>
      <c r="U326" s="75" t="s">
        <v>365</v>
      </c>
      <c r="V326" s="17">
        <v>1</v>
      </c>
    </row>
    <row r="327" spans="1:22">
      <c r="A327" s="55" t="s">
        <v>351</v>
      </c>
      <c r="B327" s="55" t="s">
        <v>352</v>
      </c>
      <c r="C327" s="55" t="s">
        <v>71</v>
      </c>
      <c r="D327" s="64" t="s">
        <v>59</v>
      </c>
      <c r="E327" s="59">
        <v>65</v>
      </c>
      <c r="F327" s="59">
        <v>81.2</v>
      </c>
      <c r="G327" s="59">
        <v>77.849999999999994</v>
      </c>
      <c r="H327" s="59">
        <v>74.599999999999994</v>
      </c>
      <c r="I327" s="59">
        <v>90.6</v>
      </c>
      <c r="J327" s="14">
        <f t="shared" si="5"/>
        <v>77.849999999999994</v>
      </c>
      <c r="K327" s="51">
        <v>132</v>
      </c>
      <c r="L327" s="51">
        <v>60</v>
      </c>
      <c r="M327" s="51">
        <v>80</v>
      </c>
      <c r="N327" s="14">
        <f>IF(ROUNDUP(IF(K327 &gt; 132, K327 / 40, K327 / 36), 0) &gt;= 7, 6, ROUNDUP(IF(K327 &gt; 132, K327 / 40, K327 / 36), 0))</f>
        <v>4</v>
      </c>
      <c r="O327" s="28">
        <f>L327*K327</f>
        <v>7920</v>
      </c>
      <c r="P327" s="28">
        <f>K327*M327</f>
        <v>10560</v>
      </c>
      <c r="Q327" s="15">
        <v>1</v>
      </c>
      <c r="R327" s="15">
        <v>3</v>
      </c>
      <c r="S327" s="15">
        <v>4</v>
      </c>
      <c r="T327" s="15">
        <v>2</v>
      </c>
      <c r="U327" s="75" t="s">
        <v>366</v>
      </c>
      <c r="V327" s="17">
        <v>1</v>
      </c>
    </row>
    <row r="328" spans="1:22">
      <c r="A328" s="55" t="s">
        <v>351</v>
      </c>
      <c r="B328" s="55" t="s">
        <v>352</v>
      </c>
      <c r="C328" s="55" t="s">
        <v>63</v>
      </c>
      <c r="D328" s="64" t="s">
        <v>59</v>
      </c>
      <c r="E328" s="67">
        <v>65</v>
      </c>
      <c r="F328" s="67">
        <v>86.3</v>
      </c>
      <c r="G328" s="67">
        <v>69.3</v>
      </c>
      <c r="H328" s="67">
        <v>69.05</v>
      </c>
      <c r="I328" s="67">
        <v>77.7</v>
      </c>
      <c r="J328" s="14">
        <f t="shared" si="5"/>
        <v>73.47</v>
      </c>
      <c r="K328" s="51">
        <v>132</v>
      </c>
      <c r="L328" s="51">
        <v>45</v>
      </c>
      <c r="M328" s="51">
        <v>50</v>
      </c>
      <c r="N328" s="14">
        <f>IF(ROUNDUP(IF(K328 &gt; 132, K328 / 40, K328 / 36), 0) &gt;= 7, 6, ROUNDUP(IF(K328 &gt; 132, K328 / 40, K328 / 36), 0))</f>
        <v>4</v>
      </c>
      <c r="O328" s="28">
        <f>L328*K328</f>
        <v>5940</v>
      </c>
      <c r="P328" s="28">
        <f>K328*M328</f>
        <v>6600</v>
      </c>
      <c r="Q328" s="15">
        <v>1</v>
      </c>
      <c r="R328" s="15">
        <v>2</v>
      </c>
      <c r="S328" s="15">
        <v>4</v>
      </c>
      <c r="T328" s="15">
        <v>0</v>
      </c>
      <c r="U328" s="75" t="s">
        <v>255</v>
      </c>
      <c r="V328" s="17">
        <v>1</v>
      </c>
    </row>
    <row r="329" spans="1:22">
      <c r="A329" s="55" t="s">
        <v>351</v>
      </c>
      <c r="B329" s="55" t="s">
        <v>352</v>
      </c>
      <c r="C329" s="55" t="s">
        <v>61</v>
      </c>
      <c r="D329" s="64" t="s">
        <v>59</v>
      </c>
      <c r="E329" s="59">
        <v>76.599999999999994</v>
      </c>
      <c r="F329" s="59">
        <v>89.6</v>
      </c>
      <c r="G329" s="59">
        <v>77.05</v>
      </c>
      <c r="H329" s="59">
        <v>76.650000000000006</v>
      </c>
      <c r="I329" s="59">
        <v>80.95</v>
      </c>
      <c r="J329" s="66">
        <f t="shared" si="5"/>
        <v>80.169999999999987</v>
      </c>
      <c r="K329" s="51">
        <v>132</v>
      </c>
      <c r="L329" s="51">
        <v>45</v>
      </c>
      <c r="M329" s="51">
        <v>50</v>
      </c>
      <c r="N329" s="14">
        <f>IF(ROUNDUP(IF(K329 &gt; 132, K329 / 40, K329 / 36), 0) &gt;= 7, 6, ROUNDUP(IF(K329 &gt; 132, K329 / 40, K329 / 36), 0))</f>
        <v>4</v>
      </c>
      <c r="O329" s="28">
        <f>L329*K329</f>
        <v>5940</v>
      </c>
      <c r="P329" s="28">
        <f>K329*M329</f>
        <v>6600</v>
      </c>
      <c r="Q329" s="15">
        <v>1</v>
      </c>
      <c r="R329" s="15">
        <v>3</v>
      </c>
      <c r="S329" s="15">
        <v>3</v>
      </c>
      <c r="T329" s="15">
        <v>1</v>
      </c>
      <c r="U329" s="75" t="s">
        <v>367</v>
      </c>
      <c r="V329" s="17">
        <v>1</v>
      </c>
    </row>
    <row r="330" spans="1:22">
      <c r="A330" s="55" t="s">
        <v>351</v>
      </c>
      <c r="B330" s="55" t="s">
        <v>352</v>
      </c>
      <c r="C330" s="55" t="s">
        <v>368</v>
      </c>
      <c r="D330" s="64" t="s">
        <v>59</v>
      </c>
      <c r="E330" s="59">
        <v>65</v>
      </c>
      <c r="F330" s="59">
        <v>84.5</v>
      </c>
      <c r="G330" s="59">
        <v>75.25</v>
      </c>
      <c r="H330" s="59">
        <v>69.650000000000006</v>
      </c>
      <c r="I330" s="59">
        <v>88.6</v>
      </c>
      <c r="J330" s="66">
        <f t="shared" si="5"/>
        <v>76.599999999999994</v>
      </c>
      <c r="K330" s="51">
        <v>132</v>
      </c>
      <c r="L330" s="51">
        <v>50</v>
      </c>
      <c r="M330" s="51">
        <v>75</v>
      </c>
      <c r="N330" s="14">
        <f>IF(ROUNDUP(IF(K330 &gt; 132, K330 / 40, K330 / 36), 0) &gt;= 7, 6, ROUNDUP(IF(K330 &gt; 132, K330 / 40, K330 / 36), 0))</f>
        <v>4</v>
      </c>
      <c r="O330" s="28">
        <f>L330*K330</f>
        <v>6600</v>
      </c>
      <c r="P330" s="28">
        <f>K330*M330</f>
        <v>9900</v>
      </c>
      <c r="Q330" s="15">
        <v>1</v>
      </c>
      <c r="R330" s="15">
        <v>3</v>
      </c>
      <c r="S330" s="15">
        <v>3</v>
      </c>
      <c r="T330" s="15">
        <v>2</v>
      </c>
      <c r="U330" s="75" t="s">
        <v>369</v>
      </c>
      <c r="V330" s="17">
        <v>1</v>
      </c>
    </row>
    <row r="331" spans="1:22">
      <c r="A331" s="55" t="s">
        <v>351</v>
      </c>
      <c r="B331" s="55" t="s">
        <v>352</v>
      </c>
      <c r="C331" s="55" t="s">
        <v>370</v>
      </c>
      <c r="D331" s="64" t="s">
        <v>59</v>
      </c>
      <c r="E331" s="59">
        <v>65</v>
      </c>
      <c r="F331" s="59">
        <v>65.5</v>
      </c>
      <c r="G331" s="59">
        <v>68.7</v>
      </c>
      <c r="H331" s="59">
        <v>65</v>
      </c>
      <c r="I331" s="59">
        <v>81.599999999999994</v>
      </c>
      <c r="J331" s="66">
        <f t="shared" si="5"/>
        <v>69.16</v>
      </c>
      <c r="K331" s="51">
        <v>132</v>
      </c>
      <c r="L331" s="51">
        <v>30</v>
      </c>
      <c r="M331" s="51">
        <v>45</v>
      </c>
      <c r="N331" s="14">
        <f>IF(ROUNDUP(IF(K331 &gt; 132, K331 / 40, K331 / 36), 0) &gt;= 7, 6, ROUNDUP(IF(K331 &gt; 132, K331 / 40, K331 / 36), 0))</f>
        <v>4</v>
      </c>
      <c r="O331" s="28">
        <f>L331*K331</f>
        <v>3960</v>
      </c>
      <c r="P331" s="28">
        <f>K331*M331</f>
        <v>5940</v>
      </c>
      <c r="Q331" s="15">
        <v>1</v>
      </c>
      <c r="R331" s="15">
        <v>3</v>
      </c>
      <c r="S331" s="15">
        <v>3</v>
      </c>
      <c r="T331" s="15">
        <v>2</v>
      </c>
      <c r="U331" s="75" t="s">
        <v>371</v>
      </c>
      <c r="V331" s="17">
        <v>1</v>
      </c>
    </row>
    <row r="332" spans="1:22">
      <c r="A332" s="55" t="s">
        <v>351</v>
      </c>
      <c r="B332" s="55" t="s">
        <v>352</v>
      </c>
      <c r="C332" s="55" t="s">
        <v>372</v>
      </c>
      <c r="D332" s="64" t="s">
        <v>59</v>
      </c>
      <c r="E332" s="59">
        <v>65</v>
      </c>
      <c r="F332" s="59">
        <v>73.099999999999994</v>
      </c>
      <c r="G332" s="59">
        <v>72.5</v>
      </c>
      <c r="H332" s="59">
        <v>65.3</v>
      </c>
      <c r="I332" s="59">
        <v>79.75</v>
      </c>
      <c r="J332" s="66">
        <f>AVERAGE(E332:I332)</f>
        <v>71.13</v>
      </c>
      <c r="K332" s="51">
        <v>132</v>
      </c>
      <c r="L332" s="51">
        <v>30</v>
      </c>
      <c r="M332" s="51">
        <v>45</v>
      </c>
      <c r="N332" s="14">
        <f>IF(ROUNDUP(IF(K332 &gt; 132, K332 / 40, K332 / 36), 0) &gt;= 7, 6, ROUNDUP(IF(K332 &gt; 132, K332 / 40, K332 / 36), 0))</f>
        <v>4</v>
      </c>
      <c r="O332" s="28">
        <f>L332*K332</f>
        <v>3960</v>
      </c>
      <c r="P332" s="28">
        <f>K332*M332</f>
        <v>5940</v>
      </c>
      <c r="Q332" s="15">
        <v>1</v>
      </c>
      <c r="R332" s="15">
        <v>3</v>
      </c>
      <c r="S332" s="15">
        <v>4</v>
      </c>
      <c r="T332" s="15">
        <v>1</v>
      </c>
      <c r="U332" s="75" t="s">
        <v>373</v>
      </c>
      <c r="V332" s="17">
        <v>1</v>
      </c>
    </row>
    <row r="333" spans="1:22">
      <c r="A333" s="55" t="s">
        <v>351</v>
      </c>
      <c r="B333" s="55" t="s">
        <v>352</v>
      </c>
      <c r="C333" s="55" t="s">
        <v>374</v>
      </c>
      <c r="D333" s="64" t="s">
        <v>59</v>
      </c>
      <c r="E333" s="59">
        <v>76.3</v>
      </c>
      <c r="F333" s="59">
        <v>91.3</v>
      </c>
      <c r="G333" s="59">
        <v>82.3</v>
      </c>
      <c r="H333" s="59">
        <v>85.5</v>
      </c>
      <c r="I333" s="59">
        <v>92.75</v>
      </c>
      <c r="J333" s="66">
        <f t="shared" si="5"/>
        <v>85.63</v>
      </c>
      <c r="K333" s="51">
        <v>132</v>
      </c>
      <c r="L333" s="51">
        <v>30</v>
      </c>
      <c r="M333" s="51">
        <v>45</v>
      </c>
      <c r="N333" s="14">
        <f>IF(ROUNDUP(IF(K333 &gt; 132, K333 / 40, K333 / 36), 0) &gt;= 7, 6, ROUNDUP(IF(K333 &gt; 132, K333 / 40, K333 / 36), 0))</f>
        <v>4</v>
      </c>
      <c r="O333" s="28">
        <f>L333*K333</f>
        <v>3960</v>
      </c>
      <c r="P333" s="28">
        <f>K333*M333</f>
        <v>5940</v>
      </c>
      <c r="Q333" s="15">
        <v>1</v>
      </c>
      <c r="R333" s="15">
        <v>3</v>
      </c>
      <c r="S333" s="15">
        <v>3</v>
      </c>
      <c r="T333" s="15">
        <v>2</v>
      </c>
      <c r="U333" s="75" t="s">
        <v>375</v>
      </c>
      <c r="V333" s="17">
        <v>1</v>
      </c>
    </row>
    <row r="334" spans="1:22">
      <c r="A334" s="55" t="s">
        <v>351</v>
      </c>
      <c r="B334" s="55" t="s">
        <v>352</v>
      </c>
      <c r="C334" s="55" t="s">
        <v>376</v>
      </c>
      <c r="D334" s="64" t="s">
        <v>59</v>
      </c>
      <c r="E334" s="59">
        <v>65</v>
      </c>
      <c r="F334" s="59">
        <v>65.2</v>
      </c>
      <c r="G334" s="59">
        <v>68.099999999999994</v>
      </c>
      <c r="H334" s="59">
        <v>65</v>
      </c>
      <c r="I334" s="59">
        <v>80.900000000000006</v>
      </c>
      <c r="J334" s="66">
        <f t="shared" si="5"/>
        <v>68.839999999999989</v>
      </c>
      <c r="K334" s="51">
        <v>132</v>
      </c>
      <c r="L334" s="51">
        <v>30</v>
      </c>
      <c r="M334" s="51">
        <v>45</v>
      </c>
      <c r="N334" s="14">
        <f>IF(ROUNDUP(IF(K334 &gt; 132, K334 / 40, K334 / 36), 0) &gt;= 7, 6, ROUNDUP(IF(K334 &gt; 132, K334 / 40, K334 / 36), 0))</f>
        <v>4</v>
      </c>
      <c r="O334" s="28">
        <f>L334*K334</f>
        <v>3960</v>
      </c>
      <c r="P334" s="28">
        <f>K334*M334</f>
        <v>5940</v>
      </c>
      <c r="Q334" s="15">
        <v>1</v>
      </c>
      <c r="R334" s="15">
        <v>3</v>
      </c>
      <c r="S334" s="15">
        <v>3</v>
      </c>
      <c r="T334" s="15">
        <v>2</v>
      </c>
      <c r="U334" s="75" t="s">
        <v>377</v>
      </c>
      <c r="V334" s="15">
        <v>1</v>
      </c>
    </row>
    <row r="335" spans="1:22">
      <c r="A335" s="55" t="s">
        <v>351</v>
      </c>
      <c r="B335" s="55" t="s">
        <v>352</v>
      </c>
      <c r="C335" s="55" t="s">
        <v>378</v>
      </c>
      <c r="D335" s="64" t="s">
        <v>88</v>
      </c>
      <c r="E335" s="59">
        <v>66.599999999999994</v>
      </c>
      <c r="F335" s="59">
        <v>82.7</v>
      </c>
      <c r="G335" s="59">
        <v>77.95</v>
      </c>
      <c r="H335" s="59">
        <v>77.95</v>
      </c>
      <c r="I335" s="59">
        <v>86.15</v>
      </c>
      <c r="J335" s="66">
        <f t="shared" si="5"/>
        <v>78.27000000000001</v>
      </c>
      <c r="K335" s="51">
        <v>132</v>
      </c>
      <c r="L335" s="51">
        <v>30</v>
      </c>
      <c r="M335" s="51">
        <v>55</v>
      </c>
      <c r="N335" s="14">
        <f>IF(ROUNDUP(IF(K335 &gt; 132, K335 / 40, K335 / 36), 0) &gt;= 7, 6, ROUNDUP(IF(K335 &gt; 132, K335 / 40, K335 / 36), 0))</f>
        <v>4</v>
      </c>
      <c r="O335" s="28">
        <f>L335*K335</f>
        <v>3960</v>
      </c>
      <c r="P335" s="28">
        <f>K335*M335</f>
        <v>7260</v>
      </c>
      <c r="Q335" s="15">
        <v>1</v>
      </c>
      <c r="R335" s="15">
        <v>2</v>
      </c>
      <c r="S335" s="15">
        <v>3</v>
      </c>
      <c r="T335" s="15">
        <v>2</v>
      </c>
      <c r="U335" s="75" t="s">
        <v>379</v>
      </c>
      <c r="V335" s="17">
        <v>1</v>
      </c>
    </row>
    <row r="336" spans="1:22">
      <c r="A336" s="55" t="s">
        <v>351</v>
      </c>
      <c r="B336" s="55" t="s">
        <v>352</v>
      </c>
      <c r="C336" s="55" t="s">
        <v>87</v>
      </c>
      <c r="D336" s="64" t="s">
        <v>88</v>
      </c>
      <c r="E336" s="59">
        <v>78.400000000000006</v>
      </c>
      <c r="F336" s="59">
        <v>87.7</v>
      </c>
      <c r="G336" s="59">
        <v>83.05</v>
      </c>
      <c r="H336" s="59">
        <v>84.1</v>
      </c>
      <c r="I336" s="59">
        <v>91.35</v>
      </c>
      <c r="J336" s="66">
        <f t="shared" si="5"/>
        <v>84.92</v>
      </c>
      <c r="K336" s="51">
        <v>132</v>
      </c>
      <c r="L336" s="51">
        <v>20</v>
      </c>
      <c r="M336" s="51">
        <v>35</v>
      </c>
      <c r="N336" s="14">
        <f>IF(ROUNDUP(IF(K336 &gt; 132, K336 / 40, K336 / 36), 0) &gt;= 7, 6, ROUNDUP(IF(K336 &gt; 132, K336 / 40, K336 / 36), 0))</f>
        <v>4</v>
      </c>
      <c r="O336" s="28">
        <f>L336*K336</f>
        <v>2640</v>
      </c>
      <c r="P336" s="28">
        <f>K336*M336</f>
        <v>4620</v>
      </c>
      <c r="Q336" s="15">
        <v>0</v>
      </c>
      <c r="R336" s="15">
        <v>1</v>
      </c>
      <c r="S336" s="15">
        <v>2</v>
      </c>
      <c r="T336" s="15">
        <v>1</v>
      </c>
      <c r="U336" s="75" t="s">
        <v>345</v>
      </c>
      <c r="V336" s="17">
        <v>1</v>
      </c>
    </row>
    <row r="337" spans="1:22">
      <c r="A337" s="55" t="s">
        <v>351</v>
      </c>
      <c r="B337" s="55" t="s">
        <v>352</v>
      </c>
      <c r="C337" s="55" t="s">
        <v>380</v>
      </c>
      <c r="D337" s="64" t="s">
        <v>88</v>
      </c>
      <c r="E337" s="59">
        <v>89.7</v>
      </c>
      <c r="F337" s="59">
        <v>95.1</v>
      </c>
      <c r="G337" s="59">
        <v>87</v>
      </c>
      <c r="H337" s="59">
        <v>87.4</v>
      </c>
      <c r="I337" s="59">
        <v>92.1</v>
      </c>
      <c r="J337" s="66">
        <f t="shared" si="5"/>
        <v>90.260000000000019</v>
      </c>
      <c r="K337" s="51">
        <v>132</v>
      </c>
      <c r="L337" s="51">
        <v>25</v>
      </c>
      <c r="M337" s="51">
        <v>45</v>
      </c>
      <c r="N337" s="14">
        <f>IF(ROUNDUP(IF(K337 &gt; 132, K337 / 40, K337 / 36), 0) &gt;= 7, 6, ROUNDUP(IF(K337 &gt; 132, K337 / 40, K337 / 36), 0))</f>
        <v>4</v>
      </c>
      <c r="O337" s="28">
        <f>L337*K337</f>
        <v>3300</v>
      </c>
      <c r="P337" s="28">
        <f>K337*M337</f>
        <v>5940</v>
      </c>
      <c r="Q337" s="15">
        <v>0</v>
      </c>
      <c r="R337" s="15">
        <v>1</v>
      </c>
      <c r="S337" s="15">
        <v>2</v>
      </c>
      <c r="T337" s="15">
        <v>1</v>
      </c>
      <c r="U337" s="75" t="s">
        <v>296</v>
      </c>
      <c r="V337" s="17">
        <v>1</v>
      </c>
    </row>
    <row r="338" spans="1:22">
      <c r="A338" s="55" t="s">
        <v>351</v>
      </c>
      <c r="B338" s="55" t="s">
        <v>352</v>
      </c>
      <c r="C338" s="55" t="s">
        <v>100</v>
      </c>
      <c r="D338" s="64" t="s">
        <v>88</v>
      </c>
      <c r="E338" s="71">
        <v>65</v>
      </c>
      <c r="F338" s="71">
        <v>66.400000000000006</v>
      </c>
      <c r="G338" s="72">
        <v>71.11</v>
      </c>
      <c r="H338" s="72">
        <v>71.11</v>
      </c>
      <c r="I338" s="71">
        <v>81.95</v>
      </c>
      <c r="J338" s="66">
        <f t="shared" si="5"/>
        <v>71.114000000000004</v>
      </c>
      <c r="K338" s="51">
        <v>132</v>
      </c>
      <c r="L338" s="51">
        <v>25</v>
      </c>
      <c r="M338" s="51">
        <v>35</v>
      </c>
      <c r="N338" s="14">
        <f>IF(ROUNDUP(IF(K338 &gt; 132, K338 / 40, K338 / 36), 0) &gt;= 7, 6, ROUNDUP(IF(K338 &gt; 132, K338 / 40, K338 / 36), 0))</f>
        <v>4</v>
      </c>
      <c r="O338" s="28">
        <f>L338*K338</f>
        <v>3300</v>
      </c>
      <c r="P338" s="28">
        <f>K338*M338</f>
        <v>4620</v>
      </c>
      <c r="Q338" s="15">
        <v>1</v>
      </c>
      <c r="R338" s="15">
        <v>3</v>
      </c>
      <c r="S338" s="15">
        <v>3</v>
      </c>
      <c r="T338" s="15">
        <v>2</v>
      </c>
      <c r="U338" s="75" t="s">
        <v>346</v>
      </c>
      <c r="V338" s="17">
        <v>1</v>
      </c>
    </row>
    <row r="339" spans="1:22">
      <c r="A339" s="55" t="s">
        <v>351</v>
      </c>
      <c r="B339" s="55" t="s">
        <v>352</v>
      </c>
      <c r="C339" s="55" t="s">
        <v>381</v>
      </c>
      <c r="D339" s="64" t="s">
        <v>88</v>
      </c>
      <c r="E339" s="59">
        <v>65</v>
      </c>
      <c r="F339" s="59">
        <v>76.7</v>
      </c>
      <c r="G339" s="59">
        <v>77.849999999999994</v>
      </c>
      <c r="H339" s="59">
        <v>71.069999999999993</v>
      </c>
      <c r="I339" s="59">
        <v>81.8</v>
      </c>
      <c r="J339" s="66">
        <f t="shared" si="5"/>
        <v>74.484000000000009</v>
      </c>
      <c r="K339" s="51">
        <v>132</v>
      </c>
      <c r="L339" s="51">
        <v>35</v>
      </c>
      <c r="M339" s="51">
        <v>50</v>
      </c>
      <c r="N339" s="14">
        <f>IF(ROUNDUP(IF(K339 &gt; 132, K339 / 40, K339 / 36), 0) &gt;= 7, 6, ROUNDUP(IF(K339 &gt; 132, K339 / 40, K339 / 36), 0))</f>
        <v>4</v>
      </c>
      <c r="O339" s="28">
        <f>L339*K339</f>
        <v>4620</v>
      </c>
      <c r="P339" s="28">
        <f>K339*M339</f>
        <v>6600</v>
      </c>
      <c r="Q339" s="15">
        <v>1</v>
      </c>
      <c r="R339" s="15">
        <v>3</v>
      </c>
      <c r="S339" s="15">
        <v>3</v>
      </c>
      <c r="T339" s="15">
        <v>2</v>
      </c>
      <c r="U339" s="75" t="s">
        <v>382</v>
      </c>
      <c r="V339" s="17">
        <v>1</v>
      </c>
    </row>
    <row r="340" spans="1:22">
      <c r="A340" s="55" t="s">
        <v>351</v>
      </c>
      <c r="B340" s="55" t="s">
        <v>352</v>
      </c>
      <c r="C340" s="55" t="s">
        <v>383</v>
      </c>
      <c r="D340" s="64" t="s">
        <v>88</v>
      </c>
      <c r="E340" s="59">
        <v>67.400000000000006</v>
      </c>
      <c r="F340" s="59">
        <v>82.7</v>
      </c>
      <c r="G340" s="59">
        <v>79.900000000000006</v>
      </c>
      <c r="H340" s="59">
        <v>77.849999999999994</v>
      </c>
      <c r="I340" s="59">
        <v>84.05</v>
      </c>
      <c r="J340" s="66">
        <f t="shared" si="5"/>
        <v>78.38000000000001</v>
      </c>
      <c r="K340" s="51">
        <v>132</v>
      </c>
      <c r="L340" s="51">
        <v>30</v>
      </c>
      <c r="M340" s="51">
        <v>45</v>
      </c>
      <c r="N340" s="14">
        <f>IF(ROUNDUP(IF(K340 &gt; 132, K340 / 40, K340 / 36), 0) &gt;= 7, 6, ROUNDUP(IF(K340 &gt; 132, K340 / 40, K340 / 36), 0))</f>
        <v>4</v>
      </c>
      <c r="O340" s="28">
        <f>L340*K340</f>
        <v>3960</v>
      </c>
      <c r="P340" s="28">
        <f>K340*M340</f>
        <v>5940</v>
      </c>
      <c r="Q340" s="15">
        <v>1</v>
      </c>
      <c r="R340" s="15">
        <v>3</v>
      </c>
      <c r="S340" s="15">
        <v>3</v>
      </c>
      <c r="T340" s="15">
        <v>2</v>
      </c>
      <c r="U340" s="75" t="s">
        <v>384</v>
      </c>
      <c r="V340" s="17">
        <v>1</v>
      </c>
    </row>
    <row r="341" spans="1:22">
      <c r="A341" s="55" t="s">
        <v>351</v>
      </c>
      <c r="B341" s="55" t="s">
        <v>352</v>
      </c>
      <c r="C341" s="55" t="s">
        <v>112</v>
      </c>
      <c r="D341" s="69" t="s">
        <v>113</v>
      </c>
      <c r="E341" s="59">
        <v>83.4</v>
      </c>
      <c r="F341" s="59">
        <v>94.5</v>
      </c>
      <c r="G341" s="59">
        <v>88.75</v>
      </c>
      <c r="H341" s="59">
        <v>90.35</v>
      </c>
      <c r="I341" s="59">
        <v>92.5</v>
      </c>
      <c r="J341" s="66">
        <f t="shared" si="5"/>
        <v>89.9</v>
      </c>
      <c r="K341" s="51">
        <v>141</v>
      </c>
      <c r="L341" s="51">
        <v>45</v>
      </c>
      <c r="M341" s="51">
        <v>60</v>
      </c>
      <c r="N341" s="14">
        <f>IF(ROUNDUP(IF(K341 &gt; 132, K341 / 40, K341 / 36), 0) &gt;= 7, 6, ROUNDUP(IF(K341 &gt; 132, K341 / 40, K341 / 36), 0))</f>
        <v>4</v>
      </c>
      <c r="O341" s="28">
        <f>L341*K341</f>
        <v>6345</v>
      </c>
      <c r="P341" s="28">
        <f>K341*M341</f>
        <v>8460</v>
      </c>
      <c r="Q341" s="15">
        <v>0</v>
      </c>
      <c r="R341" s="15">
        <v>1</v>
      </c>
      <c r="S341" s="15">
        <v>3</v>
      </c>
      <c r="T341" s="15">
        <v>1</v>
      </c>
      <c r="U341" t="s">
        <v>320</v>
      </c>
      <c r="V341" s="15">
        <v>1</v>
      </c>
    </row>
    <row r="342" spans="1:22">
      <c r="A342" s="55" t="s">
        <v>351</v>
      </c>
      <c r="B342" s="55" t="s">
        <v>352</v>
      </c>
      <c r="C342" s="55" t="s">
        <v>126</v>
      </c>
      <c r="D342" s="70" t="s">
        <v>120</v>
      </c>
      <c r="E342" s="59">
        <v>68.7</v>
      </c>
      <c r="F342" s="59">
        <v>86.7</v>
      </c>
      <c r="G342" s="59">
        <v>82.5</v>
      </c>
      <c r="H342" s="59">
        <v>84.05</v>
      </c>
      <c r="I342" s="59">
        <v>89.35</v>
      </c>
      <c r="J342" s="66">
        <f t="shared" si="5"/>
        <v>82.259999999999991</v>
      </c>
      <c r="K342" s="51">
        <v>132</v>
      </c>
      <c r="L342" s="51">
        <v>35</v>
      </c>
      <c r="M342" s="51">
        <v>55</v>
      </c>
      <c r="N342" s="14">
        <f>IF(ROUNDUP(IF(K342 &gt; 132, K342 / 40, K342 / 36), 0) &gt;= 7, 6, ROUNDUP(IF(K342 &gt; 132, K342 / 40, K342 / 36), 0))</f>
        <v>4</v>
      </c>
      <c r="O342" s="28">
        <f>L342*K342</f>
        <v>4620</v>
      </c>
      <c r="P342" s="28">
        <f>K342*M342</f>
        <v>7260</v>
      </c>
      <c r="Q342" s="15">
        <v>0</v>
      </c>
      <c r="R342" s="15">
        <v>1</v>
      </c>
      <c r="S342" s="15">
        <v>3</v>
      </c>
      <c r="T342" s="15">
        <v>2</v>
      </c>
      <c r="U342" s="75" t="s">
        <v>385</v>
      </c>
      <c r="V342" s="17">
        <v>1</v>
      </c>
    </row>
    <row r="343" spans="1:22">
      <c r="A343" s="55" t="s">
        <v>351</v>
      </c>
      <c r="B343" s="55" t="s">
        <v>352</v>
      </c>
      <c r="C343" s="55" t="s">
        <v>119</v>
      </c>
      <c r="D343" s="69" t="s">
        <v>120</v>
      </c>
      <c r="E343" s="59">
        <v>78.8</v>
      </c>
      <c r="F343" s="59">
        <v>86.7</v>
      </c>
      <c r="G343" s="59">
        <v>81.599999999999994</v>
      </c>
      <c r="H343" s="59">
        <v>82.3</v>
      </c>
      <c r="I343" s="59">
        <v>89</v>
      </c>
      <c r="J343" s="66">
        <f t="shared" si="5"/>
        <v>83.679999999999993</v>
      </c>
      <c r="K343" s="51">
        <v>132</v>
      </c>
      <c r="L343" s="51">
        <v>35</v>
      </c>
      <c r="M343" s="51">
        <v>55</v>
      </c>
      <c r="N343" s="14">
        <f>IF(ROUNDUP(IF(K343 &gt; 132, K343 / 40, K343 / 36), 0) &gt;= 7, 6, ROUNDUP(IF(K343 &gt; 132, K343 / 40, K343 / 36), 0))</f>
        <v>4</v>
      </c>
      <c r="O343" s="28">
        <f>L343*K343</f>
        <v>4620</v>
      </c>
      <c r="P343" s="28">
        <f>K343*M343</f>
        <v>7260</v>
      </c>
      <c r="Q343" s="15">
        <v>0</v>
      </c>
      <c r="R343" s="15">
        <v>1</v>
      </c>
      <c r="S343" s="15">
        <v>3</v>
      </c>
      <c r="T343" s="15">
        <v>1</v>
      </c>
      <c r="U343" s="75" t="s">
        <v>386</v>
      </c>
      <c r="V343" s="17">
        <v>1</v>
      </c>
    </row>
    <row r="344" spans="1:22">
      <c r="A344" s="55" t="s">
        <v>351</v>
      </c>
      <c r="B344" s="55" t="s">
        <v>352</v>
      </c>
      <c r="C344" s="55" t="s">
        <v>204</v>
      </c>
      <c r="D344" s="69" t="s">
        <v>120</v>
      </c>
      <c r="E344" s="59">
        <v>68</v>
      </c>
      <c r="F344" s="59">
        <v>83.8</v>
      </c>
      <c r="G344" s="59">
        <v>80.95</v>
      </c>
      <c r="H344" s="59">
        <v>81</v>
      </c>
      <c r="I344" s="59">
        <v>89.1</v>
      </c>
      <c r="J344" s="66">
        <f t="shared" si="5"/>
        <v>80.570000000000007</v>
      </c>
      <c r="K344" s="51">
        <v>132</v>
      </c>
      <c r="L344" s="51">
        <v>35</v>
      </c>
      <c r="M344" s="51">
        <v>55</v>
      </c>
      <c r="N344" s="14">
        <f>IF(ROUNDUP(IF(K344 &gt; 132, K344 / 40, K344 / 36), 0) &gt;= 7, 6, ROUNDUP(IF(K344 &gt; 132, K344 / 40, K344 / 36), 0))</f>
        <v>4</v>
      </c>
      <c r="O344" s="28">
        <f>L344*K344</f>
        <v>4620</v>
      </c>
      <c r="P344" s="28">
        <f>K344*M344</f>
        <v>7260</v>
      </c>
      <c r="Q344" s="15">
        <v>1</v>
      </c>
      <c r="R344" s="15">
        <v>3</v>
      </c>
      <c r="S344" s="15">
        <v>3</v>
      </c>
      <c r="T344" s="15">
        <v>2</v>
      </c>
      <c r="U344" s="75" t="s">
        <v>387</v>
      </c>
      <c r="V344" s="17">
        <v>1</v>
      </c>
    </row>
    <row r="345" spans="1:22">
      <c r="A345" s="55" t="s">
        <v>351</v>
      </c>
      <c r="B345" s="55" t="s">
        <v>352</v>
      </c>
      <c r="C345" s="55" t="s">
        <v>308</v>
      </c>
      <c r="D345" s="69" t="s">
        <v>120</v>
      </c>
      <c r="E345" s="59">
        <v>65</v>
      </c>
      <c r="F345" s="59">
        <v>83.6</v>
      </c>
      <c r="G345" s="59">
        <v>79.400000000000006</v>
      </c>
      <c r="H345" s="59">
        <v>78.45</v>
      </c>
      <c r="I345" s="59">
        <v>86.5</v>
      </c>
      <c r="J345" s="66">
        <f t="shared" si="5"/>
        <v>78.59</v>
      </c>
      <c r="K345" s="51">
        <v>132</v>
      </c>
      <c r="L345" s="51">
        <v>35</v>
      </c>
      <c r="M345" s="51">
        <v>55</v>
      </c>
      <c r="N345" s="14">
        <f>IF(ROUNDUP(IF(K345 &gt; 132, K345 / 40, K345 / 36), 0) &gt;= 7, 6, ROUNDUP(IF(K345 &gt; 132, K345 / 40, K345 / 36), 0))</f>
        <v>4</v>
      </c>
      <c r="O345" s="28">
        <f>L345*K345</f>
        <v>4620</v>
      </c>
      <c r="P345" s="28">
        <f>K345*M345</f>
        <v>7260</v>
      </c>
      <c r="Q345" s="15">
        <v>0</v>
      </c>
      <c r="R345" s="15">
        <v>1</v>
      </c>
      <c r="S345" s="15">
        <v>3</v>
      </c>
      <c r="T345" s="15">
        <v>1</v>
      </c>
      <c r="U345" s="75" t="s">
        <v>309</v>
      </c>
      <c r="V345" s="17">
        <v>1</v>
      </c>
    </row>
    <row r="346" spans="1:22">
      <c r="A346" s="55" t="s">
        <v>351</v>
      </c>
      <c r="B346" s="55" t="s">
        <v>352</v>
      </c>
      <c r="C346" s="55" t="s">
        <v>122</v>
      </c>
      <c r="D346" s="69" t="s">
        <v>120</v>
      </c>
      <c r="E346" s="59">
        <v>81.099999999999994</v>
      </c>
      <c r="F346" s="59">
        <v>90.1</v>
      </c>
      <c r="G346" s="59">
        <v>84.1</v>
      </c>
      <c r="H346" s="59">
        <v>84.1</v>
      </c>
      <c r="I346" s="59">
        <v>93.85</v>
      </c>
      <c r="J346" s="66">
        <f t="shared" si="5"/>
        <v>86.65</v>
      </c>
      <c r="K346" s="51">
        <v>132</v>
      </c>
      <c r="L346" s="51">
        <v>35</v>
      </c>
      <c r="M346" s="51">
        <v>55</v>
      </c>
      <c r="N346" s="14">
        <f>IF(ROUNDUP(IF(K346 &gt; 132, K346 / 40, K346 / 36), 0) &gt;= 7, 6, ROUNDUP(IF(K346 &gt; 132, K346 / 40, K346 / 36), 0))</f>
        <v>4</v>
      </c>
      <c r="O346" s="28">
        <f>L346*K346</f>
        <v>4620</v>
      </c>
      <c r="P346" s="28">
        <f>K346*M346</f>
        <v>7260</v>
      </c>
      <c r="Q346" s="15">
        <v>0</v>
      </c>
      <c r="R346" s="15">
        <v>1</v>
      </c>
      <c r="S346" s="15">
        <v>3</v>
      </c>
      <c r="T346" s="15">
        <v>1</v>
      </c>
      <c r="U346" s="75" t="s">
        <v>349</v>
      </c>
      <c r="V346" s="17">
        <v>1</v>
      </c>
    </row>
    <row r="347" spans="1:22">
      <c r="A347" s="55" t="s">
        <v>351</v>
      </c>
      <c r="B347" s="55" t="s">
        <v>352</v>
      </c>
      <c r="C347" s="55" t="s">
        <v>388</v>
      </c>
      <c r="D347" s="69" t="s">
        <v>120</v>
      </c>
      <c r="E347" s="67">
        <v>70.099999999999994</v>
      </c>
      <c r="F347" s="67">
        <v>83</v>
      </c>
      <c r="G347" s="67">
        <v>81.349999999999994</v>
      </c>
      <c r="H347" s="67">
        <v>80.75</v>
      </c>
      <c r="I347" s="67">
        <v>89.8</v>
      </c>
      <c r="J347" s="66">
        <f t="shared" si="5"/>
        <v>81</v>
      </c>
      <c r="K347" s="51">
        <v>132</v>
      </c>
      <c r="L347" s="51">
        <v>35</v>
      </c>
      <c r="M347" s="51">
        <v>55</v>
      </c>
      <c r="N347" s="14">
        <f>IF(ROUNDUP(IF(K347 &gt; 132, K347 / 40, K347 / 36), 0) &gt;= 7, 6, ROUNDUP(IF(K347 &gt; 132, K347 / 40, K347 / 36), 0))</f>
        <v>4</v>
      </c>
      <c r="O347" s="28">
        <f>L347*K347</f>
        <v>4620</v>
      </c>
      <c r="P347" s="28">
        <f>K347*M347</f>
        <v>7260</v>
      </c>
      <c r="Q347" s="15">
        <v>0</v>
      </c>
      <c r="R347" s="15">
        <v>1</v>
      </c>
      <c r="S347" s="15">
        <v>3</v>
      </c>
      <c r="T347" s="15">
        <v>1</v>
      </c>
      <c r="U347" s="75" t="s">
        <v>389</v>
      </c>
      <c r="V347" s="17">
        <v>1</v>
      </c>
    </row>
    <row r="348" spans="1:22">
      <c r="A348" s="55" t="s">
        <v>351</v>
      </c>
      <c r="B348" s="55" t="s">
        <v>135</v>
      </c>
      <c r="C348" s="55" t="s">
        <v>268</v>
      </c>
      <c r="D348" s="64" t="s">
        <v>25</v>
      </c>
      <c r="E348" s="59">
        <v>85</v>
      </c>
      <c r="F348" s="59">
        <v>89.6</v>
      </c>
      <c r="G348" s="59">
        <v>81.900000000000006</v>
      </c>
      <c r="H348" s="59">
        <v>82.9</v>
      </c>
      <c r="I348" s="59">
        <v>88.85</v>
      </c>
      <c r="J348" s="66">
        <f t="shared" si="5"/>
        <v>85.65</v>
      </c>
      <c r="K348" s="51">
        <v>136</v>
      </c>
      <c r="L348" s="51">
        <v>35</v>
      </c>
      <c r="M348" s="51">
        <v>55</v>
      </c>
      <c r="N348" s="14">
        <f>IF(ROUNDUP(IF(K348 &gt; 132, K348 / 40, K348 / 36), 0) &gt;= 7, 6, ROUNDUP(IF(K348 &gt; 132, K348 / 40, K348 / 36), 0))</f>
        <v>4</v>
      </c>
      <c r="O348" s="28">
        <f>L348*K348</f>
        <v>4760</v>
      </c>
      <c r="P348" s="28">
        <f>K348*M348</f>
        <v>7480</v>
      </c>
      <c r="Q348" s="15">
        <v>1</v>
      </c>
      <c r="R348" s="15">
        <v>4</v>
      </c>
      <c r="S348" s="15">
        <v>3</v>
      </c>
      <c r="T348" s="15">
        <v>2</v>
      </c>
      <c r="U348" s="75" t="s">
        <v>355</v>
      </c>
      <c r="V348" s="17">
        <v>1</v>
      </c>
    </row>
    <row r="349" spans="1:22">
      <c r="A349" s="55" t="s">
        <v>351</v>
      </c>
      <c r="B349" s="55" t="s">
        <v>135</v>
      </c>
      <c r="C349" s="55" t="s">
        <v>374</v>
      </c>
      <c r="D349" s="64" t="s">
        <v>59</v>
      </c>
      <c r="E349" s="59">
        <v>76.3</v>
      </c>
      <c r="F349" s="59">
        <v>89.2</v>
      </c>
      <c r="G349" s="59">
        <v>81.25</v>
      </c>
      <c r="H349" s="59">
        <v>83.1</v>
      </c>
      <c r="I349" s="59">
        <v>92.45</v>
      </c>
      <c r="J349" s="66">
        <f t="shared" si="5"/>
        <v>84.460000000000008</v>
      </c>
      <c r="K349" s="51">
        <v>132</v>
      </c>
      <c r="L349" s="51">
        <v>35</v>
      </c>
      <c r="M349" s="51">
        <v>55</v>
      </c>
      <c r="N349" s="14">
        <f>IF(ROUNDUP(IF(K349 &gt; 132, K349 / 40, K349 / 36), 0) &gt;= 7, 6, ROUNDUP(IF(K349 &gt; 132, K349 / 40, K349 / 36), 0))</f>
        <v>4</v>
      </c>
      <c r="O349" s="28">
        <f>L349*K349</f>
        <v>4620</v>
      </c>
      <c r="P349" s="28">
        <f>K349*M349</f>
        <v>7260</v>
      </c>
      <c r="Q349" s="15">
        <v>1</v>
      </c>
      <c r="R349" s="15">
        <v>3</v>
      </c>
      <c r="S349" s="15">
        <v>3</v>
      </c>
      <c r="T349" s="15">
        <v>2</v>
      </c>
      <c r="U349" s="75" t="s">
        <v>375</v>
      </c>
      <c r="V349" s="17">
        <v>1</v>
      </c>
    </row>
    <row r="350" spans="1:22">
      <c r="A350" s="55" t="s">
        <v>351</v>
      </c>
      <c r="B350" s="55" t="s">
        <v>390</v>
      </c>
      <c r="C350" s="55" t="s">
        <v>50</v>
      </c>
      <c r="D350" s="65" t="s">
        <v>42</v>
      </c>
      <c r="E350" s="59">
        <v>80</v>
      </c>
      <c r="F350" s="59">
        <v>87</v>
      </c>
      <c r="G350" s="59">
        <v>80.05</v>
      </c>
      <c r="H350" s="59">
        <v>80.400000000000006</v>
      </c>
      <c r="I350" s="59">
        <v>80</v>
      </c>
      <c r="J350" s="66">
        <f t="shared" si="5"/>
        <v>81.490000000000009</v>
      </c>
      <c r="K350" s="8">
        <v>160</v>
      </c>
      <c r="L350" s="51">
        <v>30</v>
      </c>
      <c r="M350" s="51">
        <v>60</v>
      </c>
      <c r="N350" s="14">
        <f>IF(ROUNDUP(IF(K350 &gt; 132, K350 / 40, K350 / 36), 0) &gt;= 7, 6, ROUNDUP(IF(K350 &gt; 132, K350 / 40, K350 / 36), 0))</f>
        <v>4</v>
      </c>
      <c r="O350" s="28">
        <f>L350*K350</f>
        <v>4800</v>
      </c>
      <c r="P350" s="28">
        <f>K350*M350</f>
        <v>9600</v>
      </c>
      <c r="Q350" s="15">
        <v>1</v>
      </c>
      <c r="R350" s="15">
        <v>3</v>
      </c>
      <c r="S350" s="15">
        <v>4</v>
      </c>
      <c r="T350" s="15">
        <v>1</v>
      </c>
      <c r="U350" s="75" t="s">
        <v>325</v>
      </c>
      <c r="V350" s="15">
        <v>1</v>
      </c>
    </row>
    <row r="351" spans="1:22">
      <c r="A351" s="55" t="s">
        <v>351</v>
      </c>
      <c r="B351" s="55" t="s">
        <v>390</v>
      </c>
      <c r="C351" s="55" t="s">
        <v>230</v>
      </c>
      <c r="D351" s="65" t="s">
        <v>42</v>
      </c>
      <c r="E351" s="59">
        <v>80</v>
      </c>
      <c r="F351" s="15">
        <v>83.95</v>
      </c>
      <c r="G351" s="15">
        <v>81.95</v>
      </c>
      <c r="H351" s="15">
        <v>80.25</v>
      </c>
      <c r="I351" s="15">
        <v>80.2</v>
      </c>
      <c r="J351" s="66">
        <f t="shared" si="5"/>
        <v>81.27</v>
      </c>
      <c r="K351" s="8">
        <v>160</v>
      </c>
      <c r="L351" s="51">
        <v>30</v>
      </c>
      <c r="M351" s="51">
        <v>60</v>
      </c>
      <c r="N351" s="14">
        <f>IF(ROUNDUP(IF(K351 &gt; 132, K351 / 40, K351 / 36), 0) &gt;= 7, 6, ROUNDUP(IF(K351 &gt; 132, K351 / 40, K351 / 36), 0))</f>
        <v>4</v>
      </c>
      <c r="O351" s="28">
        <f>L351*K351</f>
        <v>4800</v>
      </c>
      <c r="P351" s="28">
        <f>K351*M351</f>
        <v>9600</v>
      </c>
      <c r="Q351" s="15">
        <v>1</v>
      </c>
      <c r="R351" s="15">
        <v>3</v>
      </c>
      <c r="S351" s="15">
        <v>4</v>
      </c>
      <c r="T351" s="15">
        <v>1</v>
      </c>
      <c r="U351" s="75" t="s">
        <v>282</v>
      </c>
      <c r="V351" s="17">
        <v>1</v>
      </c>
    </row>
    <row r="352" spans="1:22">
      <c r="A352" s="55" t="s">
        <v>351</v>
      </c>
      <c r="B352" s="55" t="s">
        <v>390</v>
      </c>
      <c r="C352" s="55" t="s">
        <v>283</v>
      </c>
      <c r="D352" s="65" t="s">
        <v>42</v>
      </c>
      <c r="E352" s="59">
        <v>80</v>
      </c>
      <c r="F352" s="59">
        <v>85</v>
      </c>
      <c r="G352" s="59">
        <v>80</v>
      </c>
      <c r="H352" s="59">
        <v>80</v>
      </c>
      <c r="I352" s="59">
        <v>80</v>
      </c>
      <c r="J352" s="66">
        <f t="shared" si="5"/>
        <v>81</v>
      </c>
      <c r="K352" s="8">
        <v>160</v>
      </c>
      <c r="L352" s="51">
        <v>30</v>
      </c>
      <c r="M352" s="51">
        <v>60</v>
      </c>
      <c r="N352" s="14">
        <f>IF(ROUNDUP(IF(K352 &gt; 132, K352 / 40, K352 / 36), 0) &gt;= 7, 6, ROUNDUP(IF(K352 &gt; 132, K352 / 40, K352 / 36), 0))</f>
        <v>4</v>
      </c>
      <c r="O352" s="28">
        <f>L352*K352</f>
        <v>4800</v>
      </c>
      <c r="P352" s="28">
        <f>K352*M352</f>
        <v>9600</v>
      </c>
      <c r="Q352" s="15">
        <v>1</v>
      </c>
      <c r="R352" s="15">
        <v>3</v>
      </c>
      <c r="S352" s="15">
        <v>4</v>
      </c>
      <c r="T352" s="15">
        <v>1</v>
      </c>
      <c r="U352" s="75" t="s">
        <v>246</v>
      </c>
      <c r="V352" s="17">
        <v>1</v>
      </c>
    </row>
    <row r="353" spans="1:22">
      <c r="A353" s="55" t="s">
        <v>351</v>
      </c>
      <c r="B353" s="55" t="s">
        <v>390</v>
      </c>
      <c r="C353" s="55" t="s">
        <v>243</v>
      </c>
      <c r="D353" s="65" t="s">
        <v>42</v>
      </c>
      <c r="E353" s="67">
        <v>80</v>
      </c>
      <c r="F353" s="67">
        <v>86</v>
      </c>
      <c r="G353" s="67">
        <v>81.5</v>
      </c>
      <c r="H353" s="67">
        <v>80.95</v>
      </c>
      <c r="I353" s="67">
        <v>80.599999999999994</v>
      </c>
      <c r="J353" s="66">
        <f t="shared" si="5"/>
        <v>81.809999999999988</v>
      </c>
      <c r="K353" s="8">
        <v>160</v>
      </c>
      <c r="L353" s="51">
        <v>30</v>
      </c>
      <c r="M353" s="51">
        <v>60</v>
      </c>
      <c r="N353" s="14">
        <f>IF(ROUNDUP(IF(K353 &gt; 132, K353 / 40, K353 / 36), 0) &gt;= 7, 6, ROUNDUP(IF(K353 &gt; 132, K353 / 40, K353 / 36), 0))</f>
        <v>4</v>
      </c>
      <c r="O353" s="28">
        <f>L353*K353</f>
        <v>4800</v>
      </c>
      <c r="P353" s="28">
        <f>K353*M353</f>
        <v>9600</v>
      </c>
      <c r="Q353" s="15">
        <v>1</v>
      </c>
      <c r="R353" s="15">
        <v>3</v>
      </c>
      <c r="S353" s="15">
        <v>3</v>
      </c>
      <c r="T353" s="15">
        <v>1</v>
      </c>
      <c r="U353" s="75" t="s">
        <v>281</v>
      </c>
      <c r="V353" s="17">
        <v>1</v>
      </c>
    </row>
    <row r="354" spans="1:22">
      <c r="A354" s="55" t="s">
        <v>351</v>
      </c>
      <c r="B354" s="55" t="s">
        <v>390</v>
      </c>
      <c r="C354" s="55" t="s">
        <v>285</v>
      </c>
      <c r="D354" s="64" t="s">
        <v>59</v>
      </c>
      <c r="E354" s="59">
        <v>65.5</v>
      </c>
      <c r="F354" s="59">
        <v>80.400000000000006</v>
      </c>
      <c r="G354" s="59">
        <v>75.900000000000006</v>
      </c>
      <c r="H354" s="59">
        <v>75.75</v>
      </c>
      <c r="I354" s="59">
        <v>84.05</v>
      </c>
      <c r="J354" s="66">
        <f t="shared" si="5"/>
        <v>76.320000000000007</v>
      </c>
      <c r="K354" s="51">
        <v>132</v>
      </c>
      <c r="L354" s="51">
        <v>35</v>
      </c>
      <c r="M354" s="51">
        <v>60</v>
      </c>
      <c r="N354" s="14">
        <f>IF(ROUNDUP(IF(K354 &gt; 132, K354 / 40, K354 / 36), 0) &gt;= 7, 6, ROUNDUP(IF(K354 &gt; 132, K354 / 40, K354 / 36), 0))</f>
        <v>4</v>
      </c>
      <c r="O354" s="28">
        <f>L354*K354</f>
        <v>4620</v>
      </c>
      <c r="P354" s="28">
        <f>K354*M354</f>
        <v>7920</v>
      </c>
      <c r="Q354" s="15">
        <v>1</v>
      </c>
      <c r="R354" s="15">
        <v>3</v>
      </c>
      <c r="S354" s="15">
        <v>3</v>
      </c>
      <c r="T354" s="15">
        <v>2</v>
      </c>
      <c r="U354" s="75" t="s">
        <v>391</v>
      </c>
      <c r="V354" s="17">
        <v>1</v>
      </c>
    </row>
    <row r="355" spans="1:22">
      <c r="A355" s="55" t="s">
        <v>351</v>
      </c>
      <c r="B355" s="55" t="s">
        <v>392</v>
      </c>
      <c r="C355" s="55" t="s">
        <v>67</v>
      </c>
      <c r="D355" s="64" t="s">
        <v>59</v>
      </c>
      <c r="E355" s="59">
        <v>65</v>
      </c>
      <c r="F355" s="59">
        <v>78.900000000000006</v>
      </c>
      <c r="G355" s="59">
        <v>69.650000000000006</v>
      </c>
      <c r="H355" s="59">
        <v>65</v>
      </c>
      <c r="I355" s="59">
        <v>76.2</v>
      </c>
      <c r="J355" s="66">
        <f t="shared" si="5"/>
        <v>70.95</v>
      </c>
      <c r="K355" s="51">
        <v>132</v>
      </c>
      <c r="L355" s="51">
        <v>45</v>
      </c>
      <c r="M355" s="51">
        <v>50</v>
      </c>
      <c r="N355" s="14">
        <f>IF(ROUNDUP(IF(K355 &gt; 132, K355 / 40, K355 / 36), 0) &gt;= 7, 6, ROUNDUP(IF(K355 &gt; 132, K355 / 40, K355 / 36), 0))</f>
        <v>4</v>
      </c>
      <c r="O355" s="28">
        <f>L355*K355</f>
        <v>5940</v>
      </c>
      <c r="P355" s="28">
        <f>K355*M355</f>
        <v>6600</v>
      </c>
      <c r="Q355" s="15">
        <v>0</v>
      </c>
      <c r="R355" s="15">
        <v>1</v>
      </c>
      <c r="S355" s="15">
        <v>4</v>
      </c>
      <c r="T355" s="15">
        <v>1</v>
      </c>
      <c r="U355" s="75" t="s">
        <v>393</v>
      </c>
      <c r="V355" s="17">
        <v>1</v>
      </c>
    </row>
    <row r="356" spans="1:22">
      <c r="A356" s="55" t="s">
        <v>351</v>
      </c>
      <c r="B356" s="55" t="s">
        <v>392</v>
      </c>
      <c r="C356" s="55" t="s">
        <v>87</v>
      </c>
      <c r="D356" s="64" t="s">
        <v>88</v>
      </c>
      <c r="E356" s="59">
        <v>65</v>
      </c>
      <c r="F356" s="59">
        <v>79.400000000000006</v>
      </c>
      <c r="G356" s="59">
        <v>76.2</v>
      </c>
      <c r="H356" s="59">
        <v>70.849999999999994</v>
      </c>
      <c r="I356" s="59">
        <v>76.099999999999994</v>
      </c>
      <c r="J356" s="66">
        <f t="shared" si="5"/>
        <v>73.510000000000019</v>
      </c>
      <c r="K356" s="51">
        <v>132</v>
      </c>
      <c r="L356" s="51">
        <v>25</v>
      </c>
      <c r="M356" s="51">
        <v>35</v>
      </c>
      <c r="N356" s="14">
        <f>IF(ROUNDUP(IF(K356 &gt; 132, K356 / 40, K356 / 36), 0) &gt;= 7, 6, ROUNDUP(IF(K356 &gt; 132, K356 / 40, K356 / 36), 0))</f>
        <v>4</v>
      </c>
      <c r="O356" s="28">
        <f>L356*K356</f>
        <v>3300</v>
      </c>
      <c r="P356" s="28">
        <f>K356*M356</f>
        <v>4620</v>
      </c>
      <c r="Q356" s="15">
        <v>0</v>
      </c>
      <c r="R356" s="15">
        <v>1</v>
      </c>
      <c r="S356" s="15">
        <v>2</v>
      </c>
      <c r="T356" s="15">
        <v>1</v>
      </c>
      <c r="U356" s="75" t="s">
        <v>345</v>
      </c>
      <c r="V356" s="17">
        <v>1</v>
      </c>
    </row>
    <row r="357" spans="1:22">
      <c r="A357" s="55" t="s">
        <v>351</v>
      </c>
      <c r="B357" s="55" t="s">
        <v>392</v>
      </c>
      <c r="C357" s="55" t="s">
        <v>344</v>
      </c>
      <c r="D357" s="64" t="s">
        <v>88</v>
      </c>
      <c r="E357" s="59">
        <v>65</v>
      </c>
      <c r="F357" s="59">
        <v>84.2</v>
      </c>
      <c r="G357" s="59">
        <v>77.650000000000006</v>
      </c>
      <c r="H357" s="59">
        <v>65</v>
      </c>
      <c r="I357" s="59">
        <v>85.4</v>
      </c>
      <c r="J357" s="66">
        <f t="shared" si="5"/>
        <v>75.45</v>
      </c>
      <c r="K357" s="51">
        <v>132</v>
      </c>
      <c r="L357" s="51">
        <v>25</v>
      </c>
      <c r="M357" s="51">
        <v>35</v>
      </c>
      <c r="N357" s="14">
        <f>IF(ROUNDUP(IF(K357 &gt; 132, K357 / 40, K357 / 36), 0) &gt;= 7, 6, ROUNDUP(IF(K357 &gt; 132, K357 / 40, K357 / 36), 0))</f>
        <v>4</v>
      </c>
      <c r="O357" s="28">
        <f>L357*K357</f>
        <v>3300</v>
      </c>
      <c r="P357" s="28">
        <f>K357*M357</f>
        <v>4620</v>
      </c>
      <c r="Q357" s="15">
        <v>0</v>
      </c>
      <c r="R357" s="15">
        <v>1</v>
      </c>
      <c r="S357" s="15">
        <v>2</v>
      </c>
      <c r="T357" s="15">
        <v>1</v>
      </c>
      <c r="U357" s="75" t="s">
        <v>296</v>
      </c>
      <c r="V357" s="15">
        <v>1</v>
      </c>
    </row>
    <row r="358" spans="1:22">
      <c r="A358" s="55" t="s">
        <v>351</v>
      </c>
      <c r="B358" s="55" t="s">
        <v>392</v>
      </c>
      <c r="C358" s="55" t="s">
        <v>394</v>
      </c>
      <c r="D358" s="64" t="s">
        <v>88</v>
      </c>
      <c r="E358" s="59">
        <v>65</v>
      </c>
      <c r="F358" s="59">
        <v>74.099999999999994</v>
      </c>
      <c r="G358" s="15">
        <v>69.55</v>
      </c>
      <c r="H358" s="15">
        <v>72.010000000000005</v>
      </c>
      <c r="I358" s="59">
        <v>79.400000000000006</v>
      </c>
      <c r="J358" s="66">
        <f t="shared" si="5"/>
        <v>72.011999999999986</v>
      </c>
      <c r="K358" s="51">
        <v>132</v>
      </c>
      <c r="L358" s="51">
        <v>30</v>
      </c>
      <c r="M358" s="51">
        <v>45</v>
      </c>
      <c r="N358" s="14">
        <f>IF(ROUNDUP(IF(K358 &gt; 132, K358 / 40, K358 / 36), 0) &gt;= 7, 6, ROUNDUP(IF(K358 &gt; 132, K358 / 40, K358 / 36), 0))</f>
        <v>4</v>
      </c>
      <c r="O358" s="28">
        <f>L358*K358</f>
        <v>3960</v>
      </c>
      <c r="P358" s="28">
        <f>K358*M358</f>
        <v>5940</v>
      </c>
      <c r="Q358" s="15">
        <v>1</v>
      </c>
      <c r="R358" s="15">
        <v>3</v>
      </c>
      <c r="S358" s="15">
        <v>3</v>
      </c>
      <c r="T358" s="15">
        <v>2</v>
      </c>
      <c r="U358" t="s">
        <v>384</v>
      </c>
      <c r="V358" s="17">
        <v>1</v>
      </c>
    </row>
    <row r="359" spans="1:22">
      <c r="A359" s="55" t="s">
        <v>351</v>
      </c>
      <c r="B359" s="55" t="s">
        <v>392</v>
      </c>
      <c r="C359" s="55" t="s">
        <v>395</v>
      </c>
      <c r="D359" s="69" t="s">
        <v>113</v>
      </c>
      <c r="E359" s="67">
        <v>75</v>
      </c>
      <c r="F359" s="67">
        <v>75.099999999999994</v>
      </c>
      <c r="G359" s="67">
        <v>75.599999999999994</v>
      </c>
      <c r="H359" s="67">
        <v>76.099999999999994</v>
      </c>
      <c r="I359" s="67">
        <v>75.2</v>
      </c>
      <c r="J359" s="66">
        <f t="shared" si="5"/>
        <v>75.399999999999991</v>
      </c>
      <c r="K359" s="51">
        <v>132</v>
      </c>
      <c r="L359" s="51">
        <v>25</v>
      </c>
      <c r="M359" s="51">
        <v>35</v>
      </c>
      <c r="N359" s="14">
        <f>IF(ROUNDUP(IF(K359 &gt; 132, K359 / 40, K359 / 36), 0) &gt;= 7, 6, ROUNDUP(IF(K359 &gt; 132, K359 / 40, K359 / 36), 0))</f>
        <v>4</v>
      </c>
      <c r="O359" s="28">
        <f>L359*K359</f>
        <v>3300</v>
      </c>
      <c r="P359" s="28">
        <f>K359*M359</f>
        <v>4620</v>
      </c>
      <c r="Q359" s="15">
        <v>0</v>
      </c>
      <c r="R359" s="15">
        <v>1</v>
      </c>
      <c r="S359" s="15">
        <v>2</v>
      </c>
      <c r="T359" s="15">
        <v>1</v>
      </c>
      <c r="U359" s="75" t="s">
        <v>396</v>
      </c>
      <c r="V359" s="17">
        <v>1</v>
      </c>
    </row>
    <row r="360" spans="1:22">
      <c r="A360" s="55" t="s">
        <v>351</v>
      </c>
      <c r="B360" s="55" t="s">
        <v>397</v>
      </c>
      <c r="C360" s="55" t="s">
        <v>398</v>
      </c>
      <c r="D360" s="64" t="s">
        <v>59</v>
      </c>
      <c r="E360" s="59">
        <v>65</v>
      </c>
      <c r="F360" s="59">
        <v>66.599999999999994</v>
      </c>
      <c r="G360" s="59">
        <v>65.5</v>
      </c>
      <c r="H360" s="59">
        <v>66.150000000000006</v>
      </c>
      <c r="I360" s="59">
        <v>65.150000000000006</v>
      </c>
      <c r="J360" s="66">
        <f t="shared" si="5"/>
        <v>65.679999999999993</v>
      </c>
      <c r="K360" s="51">
        <v>132</v>
      </c>
      <c r="L360" s="51">
        <v>30</v>
      </c>
      <c r="M360" s="51">
        <v>45</v>
      </c>
      <c r="N360" s="14">
        <f>IF(ROUNDUP(IF(K360 &gt; 132, K360 / 40, K360 / 36), 0) &gt;= 7, 6, ROUNDUP(IF(K360 &gt; 132, K360 / 40, K360 / 36), 0))</f>
        <v>4</v>
      </c>
      <c r="O360" s="28">
        <f>L360*K360</f>
        <v>3960</v>
      </c>
      <c r="P360" s="28">
        <f>K360*M360</f>
        <v>5940</v>
      </c>
      <c r="Q360" s="15">
        <v>1</v>
      </c>
      <c r="R360" s="15">
        <v>3</v>
      </c>
      <c r="S360" s="15">
        <v>3</v>
      </c>
      <c r="T360" s="15">
        <v>2</v>
      </c>
      <c r="U360" s="75" t="s">
        <v>377</v>
      </c>
      <c r="V360" s="15">
        <v>1</v>
      </c>
    </row>
    <row r="361" spans="1:22">
      <c r="A361" s="55" t="s">
        <v>351</v>
      </c>
      <c r="B361" s="55" t="s">
        <v>399</v>
      </c>
      <c r="C361" s="55" t="s">
        <v>400</v>
      </c>
      <c r="D361" s="69" t="s">
        <v>120</v>
      </c>
      <c r="E361" s="59">
        <v>65</v>
      </c>
      <c r="F361" s="59">
        <v>65.5</v>
      </c>
      <c r="G361" s="59">
        <v>65</v>
      </c>
      <c r="H361" s="59">
        <v>65.45</v>
      </c>
      <c r="I361" s="59">
        <v>77.599999999999994</v>
      </c>
      <c r="J361" s="66">
        <f t="shared" si="5"/>
        <v>67.709999999999994</v>
      </c>
      <c r="K361" s="51">
        <v>132</v>
      </c>
      <c r="L361" s="51">
        <v>35</v>
      </c>
      <c r="M361" s="51">
        <v>55</v>
      </c>
      <c r="N361" s="14">
        <f>IF(ROUNDUP(IF(K361 &gt; 132, K361 / 40, K361 / 36), 0) &gt;= 7, 6, ROUNDUP(IF(K361 &gt; 132, K361 / 40, K361 / 36), 0))</f>
        <v>4</v>
      </c>
      <c r="O361" s="28">
        <f>L361*K361</f>
        <v>4620</v>
      </c>
      <c r="P361" s="28">
        <f>K361*M361</f>
        <v>7260</v>
      </c>
      <c r="Q361" s="15">
        <v>1</v>
      </c>
      <c r="R361" s="15">
        <v>3</v>
      </c>
      <c r="S361" s="15">
        <v>3</v>
      </c>
      <c r="T361" s="15">
        <v>2</v>
      </c>
      <c r="U361" s="75" t="s">
        <v>401</v>
      </c>
      <c r="V361" s="17">
        <v>1</v>
      </c>
    </row>
    <row r="362" spans="1:22">
      <c r="A362" s="55" t="s">
        <v>351</v>
      </c>
      <c r="B362" s="55" t="s">
        <v>399</v>
      </c>
      <c r="C362" s="55" t="s">
        <v>402</v>
      </c>
      <c r="D362" s="69" t="s">
        <v>120</v>
      </c>
      <c r="E362" s="59">
        <v>65</v>
      </c>
      <c r="F362" s="59">
        <v>65.099999999999994</v>
      </c>
      <c r="G362" s="59">
        <v>72.75</v>
      </c>
      <c r="H362" s="59">
        <v>68.7</v>
      </c>
      <c r="I362" s="59">
        <v>77.45</v>
      </c>
      <c r="J362" s="66">
        <f t="shared" si="5"/>
        <v>69.8</v>
      </c>
      <c r="K362" s="51">
        <v>132</v>
      </c>
      <c r="L362" s="51">
        <v>40</v>
      </c>
      <c r="M362" s="51">
        <v>60</v>
      </c>
      <c r="N362" s="14">
        <f>IF(ROUNDUP(IF(K362 &gt; 132, K362 / 40, K362 / 36), 0) &gt;= 7, 6, ROUNDUP(IF(K362 &gt; 132, K362 / 40, K362 / 36), 0))</f>
        <v>4</v>
      </c>
      <c r="O362" s="28">
        <f>L362*K362</f>
        <v>5280</v>
      </c>
      <c r="P362" s="28">
        <f>K362*M362</f>
        <v>7920</v>
      </c>
      <c r="Q362" s="15">
        <v>1</v>
      </c>
      <c r="R362" s="15">
        <v>3</v>
      </c>
      <c r="S362" s="15">
        <v>3</v>
      </c>
      <c r="T362" s="15">
        <v>2</v>
      </c>
      <c r="U362" s="75" t="s">
        <v>403</v>
      </c>
      <c r="V362" s="17">
        <v>1</v>
      </c>
    </row>
    <row r="363" spans="1:22">
      <c r="A363" s="55" t="s">
        <v>351</v>
      </c>
      <c r="B363" s="55" t="s">
        <v>404</v>
      </c>
      <c r="C363" s="55" t="s">
        <v>405</v>
      </c>
      <c r="D363" s="64" t="s">
        <v>25</v>
      </c>
      <c r="E363" s="59">
        <v>74.400000000000006</v>
      </c>
      <c r="F363" s="59">
        <v>82</v>
      </c>
      <c r="G363" s="59">
        <v>77.650000000000006</v>
      </c>
      <c r="H363" s="59">
        <v>76.2</v>
      </c>
      <c r="I363" s="59">
        <v>85.6</v>
      </c>
      <c r="J363" s="66">
        <f t="shared" si="5"/>
        <v>79.17</v>
      </c>
      <c r="K363" s="51">
        <v>132</v>
      </c>
      <c r="L363" s="51">
        <v>40</v>
      </c>
      <c r="M363" s="51">
        <v>65</v>
      </c>
      <c r="N363" s="14">
        <f>IF(ROUNDUP(IF(K363 &gt; 132, K363 / 40, K363 / 36), 0) &gt;= 7, 6, ROUNDUP(IF(K363 &gt; 132, K363 / 40, K363 / 36), 0))</f>
        <v>4</v>
      </c>
      <c r="O363" s="28">
        <f>L363*K363</f>
        <v>5280</v>
      </c>
      <c r="P363" s="28">
        <f>K363*M363</f>
        <v>8580</v>
      </c>
      <c r="Q363" s="15">
        <v>1</v>
      </c>
      <c r="R363" s="15">
        <v>4</v>
      </c>
      <c r="S363" s="15">
        <v>4</v>
      </c>
      <c r="T363" s="15">
        <v>2</v>
      </c>
      <c r="U363" s="75" t="s">
        <v>406</v>
      </c>
      <c r="V363" s="17">
        <v>1</v>
      </c>
    </row>
    <row r="364" spans="1:22">
      <c r="A364" s="55" t="s">
        <v>351</v>
      </c>
      <c r="B364" s="55" t="s">
        <v>404</v>
      </c>
      <c r="C364" s="55" t="s">
        <v>230</v>
      </c>
      <c r="D364" s="65" t="s">
        <v>42</v>
      </c>
      <c r="E364" s="59">
        <v>80</v>
      </c>
      <c r="F364" s="59">
        <v>83</v>
      </c>
      <c r="G364" s="59">
        <v>81.3</v>
      </c>
      <c r="H364" s="59">
        <v>80.099999999999994</v>
      </c>
      <c r="I364" s="59">
        <v>80.05</v>
      </c>
      <c r="J364" s="66">
        <f t="shared" si="5"/>
        <v>80.89</v>
      </c>
      <c r="K364" s="51">
        <v>160</v>
      </c>
      <c r="L364" s="51">
        <v>40</v>
      </c>
      <c r="M364" s="51">
        <v>60</v>
      </c>
      <c r="N364" s="14">
        <f>IF(ROUNDUP(IF(K364 &gt; 132, K364 / 40, K364 / 36), 0) &gt;= 7, 6, ROUNDUP(IF(K364 &gt; 132, K364 / 40, K364 / 36), 0))</f>
        <v>4</v>
      </c>
      <c r="O364" s="28">
        <f>L364*K364</f>
        <v>6400</v>
      </c>
      <c r="P364" s="28">
        <f>K364*M364</f>
        <v>9600</v>
      </c>
      <c r="Q364" s="15">
        <v>1</v>
      </c>
      <c r="R364" s="15">
        <v>3</v>
      </c>
      <c r="S364" s="15">
        <v>4</v>
      </c>
      <c r="T364" s="15">
        <v>1</v>
      </c>
      <c r="U364" s="75" t="s">
        <v>282</v>
      </c>
      <c r="V364" s="17">
        <v>1</v>
      </c>
    </row>
    <row r="365" spans="1:22">
      <c r="A365" s="55" t="s">
        <v>351</v>
      </c>
      <c r="B365" s="55" t="s">
        <v>404</v>
      </c>
      <c r="C365" s="55" t="s">
        <v>407</v>
      </c>
      <c r="D365" s="69" t="s">
        <v>120</v>
      </c>
      <c r="E365" s="67">
        <v>65</v>
      </c>
      <c r="F365" s="67">
        <v>77</v>
      </c>
      <c r="G365" s="67">
        <v>74.75</v>
      </c>
      <c r="H365" s="67">
        <v>71.400000000000006</v>
      </c>
      <c r="I365" s="67">
        <v>80.45</v>
      </c>
      <c r="J365" s="66">
        <f t="shared" si="5"/>
        <v>73.72</v>
      </c>
      <c r="K365" s="51">
        <v>132</v>
      </c>
      <c r="L365" s="51">
        <v>30</v>
      </c>
      <c r="M365" s="51">
        <v>45</v>
      </c>
      <c r="N365" s="14">
        <f>IF(ROUNDUP(IF(K365 &gt; 132, K365 / 40, K365 / 36), 0) &gt;= 7, 6, ROUNDUP(IF(K365 &gt; 132, K365 / 40, K365 / 36), 0))</f>
        <v>4</v>
      </c>
      <c r="O365" s="28">
        <f>L365*K365</f>
        <v>3960</v>
      </c>
      <c r="P365" s="28">
        <f>K365*M365</f>
        <v>5940</v>
      </c>
      <c r="Q365" s="15">
        <v>1</v>
      </c>
      <c r="R365" s="15">
        <v>3</v>
      </c>
      <c r="S365" s="15">
        <v>3</v>
      </c>
      <c r="T365" s="15">
        <v>2</v>
      </c>
      <c r="U365" s="75" t="s">
        <v>408</v>
      </c>
      <c r="V365" s="17">
        <v>1</v>
      </c>
    </row>
    <row r="366" spans="1:22">
      <c r="A366" s="63" t="s">
        <v>409</v>
      </c>
      <c r="B366" s="55" t="s">
        <v>23</v>
      </c>
      <c r="C366" s="55" t="s">
        <v>285</v>
      </c>
      <c r="D366" s="64" t="s">
        <v>59</v>
      </c>
      <c r="E366" s="59">
        <v>65</v>
      </c>
      <c r="F366" s="59">
        <v>80.8</v>
      </c>
      <c r="G366" s="59">
        <v>77.5</v>
      </c>
      <c r="H366" s="59">
        <v>78.400000000000006</v>
      </c>
      <c r="I366" s="59">
        <v>86.05</v>
      </c>
      <c r="J366" s="66">
        <f t="shared" si="5"/>
        <v>77.550000000000011</v>
      </c>
      <c r="K366" s="51">
        <v>132</v>
      </c>
      <c r="N366" s="14">
        <f>IF(ROUNDUP(IF(K366 &gt; 132, K366 / 40, K366 / 36), 0) &gt;= 7, 6, ROUNDUP(IF(K366 &gt; 132, K366 / 40, K366 / 36), 0))</f>
        <v>4</v>
      </c>
      <c r="O366" s="28">
        <f>L367*K366</f>
        <v>0</v>
      </c>
      <c r="P366" s="28">
        <f>K366*M366</f>
        <v>0</v>
      </c>
      <c r="Q366" s="15">
        <v>1</v>
      </c>
      <c r="R366" s="15">
        <v>3</v>
      </c>
      <c r="S366" s="15">
        <v>3</v>
      </c>
      <c r="T366" s="15">
        <v>2</v>
      </c>
      <c r="U366" s="75" t="s">
        <v>410</v>
      </c>
      <c r="V366" s="15">
        <v>0</v>
      </c>
    </row>
    <row r="367" spans="1:22">
      <c r="A367" s="63" t="s">
        <v>409</v>
      </c>
      <c r="B367" s="55" t="s">
        <v>23</v>
      </c>
      <c r="C367" s="55" t="s">
        <v>77</v>
      </c>
      <c r="D367" s="64" t="s">
        <v>59</v>
      </c>
      <c r="E367" s="59">
        <v>73.3</v>
      </c>
      <c r="F367" s="59">
        <v>84.7</v>
      </c>
      <c r="G367" s="59">
        <v>78.55</v>
      </c>
      <c r="H367" s="59">
        <v>77.2</v>
      </c>
      <c r="I367" s="59">
        <v>83.55</v>
      </c>
      <c r="J367" s="66">
        <f t="shared" si="5"/>
        <v>79.460000000000008</v>
      </c>
      <c r="K367" s="51">
        <v>160</v>
      </c>
      <c r="N367" s="14">
        <f>IF(ROUNDUP(IF(K367 &gt; 132, K367 / 40, K367 / 36), 0) &gt;= 7, 6, ROUNDUP(IF(K367 &gt; 132, K367 / 40, K367 / 36), 0))</f>
        <v>4</v>
      </c>
      <c r="O367" s="28">
        <f>L368*K367</f>
        <v>0</v>
      </c>
      <c r="P367" s="28">
        <f>K367*M367</f>
        <v>0</v>
      </c>
      <c r="Q367" s="15">
        <v>1</v>
      </c>
      <c r="R367" s="15">
        <v>3</v>
      </c>
      <c r="S367" s="15">
        <v>3</v>
      </c>
      <c r="T367" s="15">
        <v>2</v>
      </c>
      <c r="U367" s="75" t="s">
        <v>411</v>
      </c>
      <c r="V367" s="15">
        <v>0</v>
      </c>
    </row>
    <row r="368" spans="1:22">
      <c r="A368" s="63" t="s">
        <v>409</v>
      </c>
      <c r="B368" s="55" t="s">
        <v>23</v>
      </c>
      <c r="C368" s="55" t="s">
        <v>412</v>
      </c>
      <c r="D368" s="64" t="s">
        <v>59</v>
      </c>
      <c r="E368" s="59">
        <v>65</v>
      </c>
      <c r="F368" s="59">
        <v>77.099999999999994</v>
      </c>
      <c r="G368" s="59">
        <v>71.7</v>
      </c>
      <c r="H368" s="59">
        <v>71.599999999999994</v>
      </c>
      <c r="I368" s="59">
        <v>80.05</v>
      </c>
      <c r="J368" s="66">
        <f t="shared" si="5"/>
        <v>73.09</v>
      </c>
      <c r="K368" s="51">
        <v>132</v>
      </c>
      <c r="N368" s="14">
        <f>IF(ROUNDUP(IF(K368 &gt; 132, K368 / 40, K368 / 36), 0) &gt;= 7, 6, ROUNDUP(IF(K368 &gt; 132, K368 / 40, K368 / 36), 0))</f>
        <v>4</v>
      </c>
      <c r="O368" s="28">
        <f>L368*K368</f>
        <v>0</v>
      </c>
      <c r="P368" s="28">
        <f>K368*M368</f>
        <v>0</v>
      </c>
      <c r="Q368" s="15">
        <v>1</v>
      </c>
      <c r="R368" s="15">
        <v>3</v>
      </c>
      <c r="S368" s="15">
        <v>3</v>
      </c>
      <c r="T368" s="15">
        <v>2</v>
      </c>
      <c r="U368" s="75" t="s">
        <v>413</v>
      </c>
      <c r="V368" s="15">
        <v>0</v>
      </c>
    </row>
    <row r="369" spans="1:22">
      <c r="A369" s="63" t="s">
        <v>409</v>
      </c>
      <c r="B369" s="55" t="s">
        <v>23</v>
      </c>
      <c r="C369" s="55" t="s">
        <v>414</v>
      </c>
      <c r="D369" s="64" t="s">
        <v>59</v>
      </c>
      <c r="E369" s="59">
        <v>65</v>
      </c>
      <c r="F369" s="59">
        <v>82.2</v>
      </c>
      <c r="G369" s="59">
        <v>76.849999999999994</v>
      </c>
      <c r="H369" s="59">
        <v>75.349999999999994</v>
      </c>
      <c r="I369" s="59">
        <v>81.25</v>
      </c>
      <c r="J369" s="66">
        <f t="shared" si="5"/>
        <v>76.13</v>
      </c>
      <c r="K369" s="51">
        <v>132</v>
      </c>
      <c r="N369" s="14">
        <f>IF(ROUNDUP(IF(K369 &gt; 132, K369 / 40, K369 / 36), 0) &gt;= 7, 6, ROUNDUP(IF(K369 &gt; 132, K369 / 40, K369 / 36), 0))</f>
        <v>4</v>
      </c>
      <c r="O369" s="28">
        <f>L369*K369</f>
        <v>0</v>
      </c>
      <c r="P369" s="28">
        <f>K369*M369</f>
        <v>0</v>
      </c>
      <c r="Q369" s="15">
        <v>1</v>
      </c>
      <c r="R369" s="15">
        <v>3</v>
      </c>
      <c r="S369" s="15">
        <v>3</v>
      </c>
      <c r="T369" s="15">
        <v>2</v>
      </c>
      <c r="U369" s="75" t="s">
        <v>415</v>
      </c>
      <c r="V369" s="15">
        <v>0</v>
      </c>
    </row>
    <row r="370" spans="1:22">
      <c r="A370" s="63" t="s">
        <v>409</v>
      </c>
      <c r="B370" s="55" t="s">
        <v>23</v>
      </c>
      <c r="C370" s="55" t="s">
        <v>416</v>
      </c>
      <c r="D370" s="64" t="s">
        <v>88</v>
      </c>
      <c r="E370" s="59">
        <v>73</v>
      </c>
      <c r="F370" s="59">
        <v>84.5</v>
      </c>
      <c r="G370" s="59">
        <v>77.3</v>
      </c>
      <c r="H370" s="59">
        <v>79.3</v>
      </c>
      <c r="I370" s="59">
        <v>81.55</v>
      </c>
      <c r="J370" s="66">
        <f t="shared" si="5"/>
        <v>79.13000000000001</v>
      </c>
      <c r="K370" s="51">
        <v>132</v>
      </c>
      <c r="N370" s="14">
        <f>IF(ROUNDUP(IF(K370 &gt; 132, K370 / 40, K370 / 36), 0) &gt;= 7, 6, ROUNDUP(IF(K370 &gt; 132, K370 / 40, K370 / 36), 0))</f>
        <v>4</v>
      </c>
      <c r="O370" s="28">
        <f>L370*K370</f>
        <v>0</v>
      </c>
      <c r="P370" s="28">
        <f>K370*M370</f>
        <v>0</v>
      </c>
      <c r="Q370" s="15">
        <v>1</v>
      </c>
      <c r="R370" s="15">
        <v>3</v>
      </c>
      <c r="S370" s="15">
        <v>3</v>
      </c>
      <c r="T370" s="15">
        <v>2</v>
      </c>
      <c r="U370" s="75" t="s">
        <v>417</v>
      </c>
      <c r="V370" s="15">
        <v>0</v>
      </c>
    </row>
    <row r="371" spans="1:22">
      <c r="A371" s="63" t="s">
        <v>409</v>
      </c>
      <c r="B371" s="55" t="s">
        <v>23</v>
      </c>
      <c r="C371" s="55" t="s">
        <v>100</v>
      </c>
      <c r="D371" s="64" t="s">
        <v>88</v>
      </c>
      <c r="E371" s="59">
        <v>70.2</v>
      </c>
      <c r="F371" s="59">
        <v>81.900000000000006</v>
      </c>
      <c r="G371" s="59">
        <v>74.849999999999994</v>
      </c>
      <c r="H371" s="59">
        <v>75.650000000000006</v>
      </c>
      <c r="I371" s="59">
        <v>81.599999999999994</v>
      </c>
      <c r="J371" s="66">
        <f t="shared" si="5"/>
        <v>76.84</v>
      </c>
      <c r="K371" s="51">
        <v>132</v>
      </c>
      <c r="N371" s="14">
        <f>IF(ROUNDUP(IF(K371 &gt; 132, K371 / 40, K371 / 36), 0) &gt;= 7, 6, ROUNDUP(IF(K371 &gt; 132, K371 / 40, K371 / 36), 0))</f>
        <v>4</v>
      </c>
      <c r="O371" s="28">
        <f>L371*K371</f>
        <v>0</v>
      </c>
      <c r="P371" s="28">
        <f>K371*M371</f>
        <v>0</v>
      </c>
      <c r="Q371" s="15">
        <v>1</v>
      </c>
      <c r="R371" s="15">
        <v>3</v>
      </c>
      <c r="S371" s="15">
        <v>3</v>
      </c>
      <c r="T371" s="15">
        <v>2</v>
      </c>
      <c r="U371" s="75" t="s">
        <v>346</v>
      </c>
      <c r="V371" s="15">
        <v>0</v>
      </c>
    </row>
    <row r="372" spans="1:22">
      <c r="A372" s="63" t="s">
        <v>409</v>
      </c>
      <c r="B372" s="55" t="s">
        <v>23</v>
      </c>
      <c r="C372" s="55" t="s">
        <v>186</v>
      </c>
      <c r="D372" s="64" t="s">
        <v>88</v>
      </c>
      <c r="E372" s="59">
        <v>74.400000000000006</v>
      </c>
      <c r="F372" s="59">
        <v>83.1</v>
      </c>
      <c r="G372" s="59">
        <v>77.099999999999994</v>
      </c>
      <c r="H372" s="59">
        <v>81.3</v>
      </c>
      <c r="I372" s="59">
        <v>86.65</v>
      </c>
      <c r="J372" s="66">
        <f t="shared" si="5"/>
        <v>80.509999999999991</v>
      </c>
      <c r="K372" s="51">
        <v>132</v>
      </c>
      <c r="N372" s="14">
        <f>IF(ROUNDUP(IF(K372 &gt; 132, K372 / 40, K372 / 36), 0) &gt;= 7, 6, ROUNDUP(IF(K372 &gt; 132, K372 / 40, K372 / 36), 0))</f>
        <v>4</v>
      </c>
      <c r="O372" s="28">
        <f>L372*K372</f>
        <v>0</v>
      </c>
      <c r="P372" s="28">
        <f>K372*M372</f>
        <v>0</v>
      </c>
      <c r="Q372" s="15">
        <v>1</v>
      </c>
      <c r="R372" s="15">
        <v>2</v>
      </c>
      <c r="S372" s="15">
        <v>2</v>
      </c>
      <c r="T372" s="15">
        <v>2</v>
      </c>
      <c r="U372" s="75" t="s">
        <v>302</v>
      </c>
      <c r="V372" s="15">
        <v>0</v>
      </c>
    </row>
    <row r="373" spans="1:22">
      <c r="A373" s="63" t="s">
        <v>409</v>
      </c>
      <c r="B373" s="55" t="s">
        <v>23</v>
      </c>
      <c r="C373" s="55" t="s">
        <v>344</v>
      </c>
      <c r="D373" s="64" t="s">
        <v>88</v>
      </c>
      <c r="E373" s="59">
        <v>83.9</v>
      </c>
      <c r="F373" s="59">
        <v>91.9</v>
      </c>
      <c r="G373" s="59">
        <v>82.95</v>
      </c>
      <c r="H373" s="59">
        <v>86.65</v>
      </c>
      <c r="I373" s="59">
        <v>87.7</v>
      </c>
      <c r="J373" s="66">
        <f t="shared" si="5"/>
        <v>86.61999999999999</v>
      </c>
      <c r="K373" s="51">
        <v>132</v>
      </c>
      <c r="N373" s="14">
        <f>IF(ROUNDUP(IF(K373 &gt; 132, K373 / 40, K373 / 36), 0) &gt;= 7, 6, ROUNDUP(IF(K373 &gt; 132, K373 / 40, K373 / 36), 0))</f>
        <v>4</v>
      </c>
      <c r="O373" s="28">
        <f>L373*K373</f>
        <v>0</v>
      </c>
      <c r="P373" s="28">
        <f>K373*M373</f>
        <v>0</v>
      </c>
      <c r="Q373" s="15">
        <v>0</v>
      </c>
      <c r="R373" s="15">
        <v>1</v>
      </c>
      <c r="S373" s="15">
        <v>2</v>
      </c>
      <c r="T373" s="15">
        <v>1</v>
      </c>
      <c r="U373" s="75" t="s">
        <v>296</v>
      </c>
      <c r="V373" s="15">
        <v>0</v>
      </c>
    </row>
    <row r="374" spans="1:22">
      <c r="A374" s="63" t="s">
        <v>409</v>
      </c>
      <c r="B374" s="55" t="s">
        <v>23</v>
      </c>
      <c r="C374" s="55" t="s">
        <v>87</v>
      </c>
      <c r="D374" s="64" t="s">
        <v>88</v>
      </c>
      <c r="E374" s="59">
        <v>74.099999999999994</v>
      </c>
      <c r="F374" s="59">
        <v>88.3</v>
      </c>
      <c r="G374" s="59">
        <v>82.65</v>
      </c>
      <c r="H374" s="59">
        <v>78.75</v>
      </c>
      <c r="I374" s="59">
        <v>82.05</v>
      </c>
      <c r="J374" s="66">
        <f t="shared" si="5"/>
        <v>81.169999999999987</v>
      </c>
      <c r="K374" s="51">
        <v>132</v>
      </c>
      <c r="N374" s="14">
        <f>IF(ROUNDUP(IF(K374 &gt; 132, K374 / 40, K374 / 36), 0) &gt;= 7, 6, ROUNDUP(IF(K374 &gt; 132, K374 / 40, K374 / 36), 0))</f>
        <v>4</v>
      </c>
      <c r="O374" s="28">
        <f>L374*K374</f>
        <v>0</v>
      </c>
      <c r="P374" s="28">
        <f>K374*M374</f>
        <v>0</v>
      </c>
      <c r="Q374" s="15">
        <v>0</v>
      </c>
      <c r="R374" s="15">
        <v>1</v>
      </c>
      <c r="S374" s="15">
        <v>2</v>
      </c>
      <c r="T374" s="15">
        <v>1</v>
      </c>
      <c r="U374" s="75" t="s">
        <v>345</v>
      </c>
      <c r="V374" s="15">
        <v>0</v>
      </c>
    </row>
    <row r="375" spans="1:22">
      <c r="A375" s="63" t="s">
        <v>409</v>
      </c>
      <c r="B375" s="55" t="s">
        <v>23</v>
      </c>
      <c r="C375" s="55" t="s">
        <v>119</v>
      </c>
      <c r="D375" s="69" t="s">
        <v>120</v>
      </c>
      <c r="E375" s="59">
        <v>71.7</v>
      </c>
      <c r="F375" s="59">
        <v>84.8</v>
      </c>
      <c r="G375" s="59">
        <v>78.599999999999994</v>
      </c>
      <c r="H375" s="59">
        <v>75.8</v>
      </c>
      <c r="I375" s="59">
        <v>81.650000000000006</v>
      </c>
      <c r="J375" s="66">
        <f t="shared" si="5"/>
        <v>78.509999999999991</v>
      </c>
      <c r="K375" s="51">
        <v>132</v>
      </c>
      <c r="N375" s="14">
        <f>IF(ROUNDUP(IF(K375 &gt; 132, K375 / 40, K375 / 36), 0) &gt;= 7, 6, ROUNDUP(IF(K375 &gt; 132, K375 / 40, K375 / 36), 0))</f>
        <v>4</v>
      </c>
      <c r="O375" s="28">
        <f>L375*K375</f>
        <v>0</v>
      </c>
      <c r="P375" s="28">
        <f>K375*M375</f>
        <v>0</v>
      </c>
      <c r="Q375" s="15">
        <v>0</v>
      </c>
      <c r="R375" s="15">
        <v>1</v>
      </c>
      <c r="S375" s="15">
        <v>3</v>
      </c>
      <c r="T375" s="15">
        <v>1</v>
      </c>
      <c r="U375" t="s">
        <v>386</v>
      </c>
      <c r="V375" s="15">
        <v>0</v>
      </c>
    </row>
    <row r="376" spans="1:22">
      <c r="A376" s="63" t="s">
        <v>409</v>
      </c>
      <c r="B376" s="55" t="s">
        <v>23</v>
      </c>
      <c r="C376" s="55" t="s">
        <v>122</v>
      </c>
      <c r="D376" s="69" t="s">
        <v>120</v>
      </c>
      <c r="E376" s="59">
        <v>73.599999999999994</v>
      </c>
      <c r="F376" s="59">
        <v>87.1</v>
      </c>
      <c r="G376" s="15">
        <v>81.42</v>
      </c>
      <c r="H376" s="59">
        <v>80.25</v>
      </c>
      <c r="I376" s="59">
        <v>84.75</v>
      </c>
      <c r="J376" s="66">
        <f t="shared" si="5"/>
        <v>81.424000000000007</v>
      </c>
      <c r="K376" s="51">
        <v>132</v>
      </c>
      <c r="N376" s="14">
        <f>IF(ROUNDUP(IF(K376 &gt; 132, K376 / 40, K376 / 36), 0) &gt;= 7, 6, ROUNDUP(IF(K376 &gt; 132, K376 / 40, K376 / 36), 0))</f>
        <v>4</v>
      </c>
      <c r="O376" s="28">
        <f>L376*K376</f>
        <v>0</v>
      </c>
      <c r="P376" s="28">
        <f>K376*M376</f>
        <v>0</v>
      </c>
      <c r="Q376" s="15">
        <v>0</v>
      </c>
      <c r="R376" s="15">
        <v>1</v>
      </c>
      <c r="S376" s="15">
        <v>3</v>
      </c>
      <c r="T376" s="15">
        <v>1</v>
      </c>
      <c r="U376" s="75" t="s">
        <v>349</v>
      </c>
      <c r="V376" s="15">
        <v>0</v>
      </c>
    </row>
    <row r="377" spans="1:22">
      <c r="A377" s="63" t="s">
        <v>409</v>
      </c>
      <c r="B377" s="55" t="s">
        <v>23</v>
      </c>
      <c r="C377" s="55" t="s">
        <v>314</v>
      </c>
      <c r="D377" s="69" t="s">
        <v>120</v>
      </c>
      <c r="E377" s="59">
        <v>67.099999999999994</v>
      </c>
      <c r="F377" s="59">
        <v>82.9</v>
      </c>
      <c r="G377" s="59">
        <v>77.25</v>
      </c>
      <c r="H377" s="59">
        <v>74.2</v>
      </c>
      <c r="I377" s="59">
        <v>82.2</v>
      </c>
      <c r="J377" s="66">
        <f t="shared" si="5"/>
        <v>76.72999999999999</v>
      </c>
      <c r="K377" s="51">
        <v>132</v>
      </c>
      <c r="N377" s="14">
        <f>IF(ROUNDUP(IF(K377 &gt; 132, K377 / 40, K377 / 36), 0) &gt;= 7, 6, ROUNDUP(IF(K377 &gt; 132, K377 / 40, K377 / 36), 0))</f>
        <v>4</v>
      </c>
      <c r="O377" s="28">
        <f>L377*K377</f>
        <v>0</v>
      </c>
      <c r="P377" s="28">
        <f>K377*M377</f>
        <v>0</v>
      </c>
      <c r="Q377" s="15">
        <v>1</v>
      </c>
      <c r="R377" s="15">
        <v>3</v>
      </c>
      <c r="S377" s="15">
        <v>3</v>
      </c>
      <c r="T377" s="15">
        <v>2</v>
      </c>
      <c r="U377" s="75" t="s">
        <v>418</v>
      </c>
      <c r="V377" s="15">
        <v>0</v>
      </c>
    </row>
    <row r="378" spans="1:22">
      <c r="A378" s="63" t="s">
        <v>409</v>
      </c>
      <c r="B378" s="55" t="s">
        <v>23</v>
      </c>
      <c r="C378" s="55" t="s">
        <v>419</v>
      </c>
      <c r="D378" s="69" t="s">
        <v>120</v>
      </c>
      <c r="E378" s="67">
        <v>66.3</v>
      </c>
      <c r="F378" s="67">
        <v>81.5</v>
      </c>
      <c r="G378" s="67">
        <v>75.5</v>
      </c>
      <c r="H378" s="67">
        <v>72.75</v>
      </c>
      <c r="I378" s="67">
        <v>76.849999999999994</v>
      </c>
      <c r="J378" s="66">
        <f t="shared" si="5"/>
        <v>74.58</v>
      </c>
      <c r="K378" s="51">
        <v>132</v>
      </c>
      <c r="N378" s="14">
        <f>IF(ROUNDUP(IF(K378 &gt; 132, K378 / 40, K378 / 36), 0) &gt;= 7, 6, ROUNDUP(IF(K378 &gt; 132, K378 / 40, K378 / 36), 0))</f>
        <v>4</v>
      </c>
      <c r="O378" s="28">
        <f>L378*K378</f>
        <v>0</v>
      </c>
      <c r="P378" s="28">
        <f>K378*M378</f>
        <v>0</v>
      </c>
      <c r="Q378" s="15">
        <v>0</v>
      </c>
      <c r="R378" s="15">
        <v>1</v>
      </c>
      <c r="S378" s="15">
        <v>3</v>
      </c>
      <c r="T378" s="15">
        <v>1</v>
      </c>
      <c r="U378" s="75" t="s">
        <v>420</v>
      </c>
      <c r="V378" s="15">
        <v>0</v>
      </c>
    </row>
    <row r="379" spans="1:22">
      <c r="A379" s="63" t="s">
        <v>409</v>
      </c>
      <c r="B379" s="55" t="s">
        <v>23</v>
      </c>
      <c r="C379" s="55" t="s">
        <v>312</v>
      </c>
      <c r="D379" s="69" t="s">
        <v>120</v>
      </c>
      <c r="E379" s="59">
        <v>69.8</v>
      </c>
      <c r="F379" s="59">
        <v>83.4</v>
      </c>
      <c r="G379" s="59">
        <v>77.099999999999994</v>
      </c>
      <c r="H379" s="59">
        <v>75.900000000000006</v>
      </c>
      <c r="I379" s="59">
        <v>81.099999999999994</v>
      </c>
      <c r="J379" s="66">
        <f t="shared" si="5"/>
        <v>77.459999999999994</v>
      </c>
      <c r="K379" s="51">
        <v>132</v>
      </c>
      <c r="N379" s="14">
        <f>IF(ROUNDUP(IF(K379 &gt; 132, K379 / 40, K379 / 36), 0) &gt;= 7, 6, ROUNDUP(IF(K379 &gt; 132, K379 / 40, K379 / 36), 0))</f>
        <v>4</v>
      </c>
      <c r="O379" s="28">
        <f>L379*K379</f>
        <v>0</v>
      </c>
      <c r="P379" s="28">
        <f>K379*M379</f>
        <v>0</v>
      </c>
      <c r="Q379" s="15">
        <v>0</v>
      </c>
      <c r="R379" s="15">
        <v>1</v>
      </c>
      <c r="S379" s="15">
        <v>3</v>
      </c>
      <c r="T379" s="15">
        <v>1</v>
      </c>
      <c r="U379" s="75" t="s">
        <v>421</v>
      </c>
      <c r="V379" s="15">
        <v>0</v>
      </c>
    </row>
    <row r="380" spans="1:22">
      <c r="A380" s="63" t="s">
        <v>409</v>
      </c>
      <c r="B380" s="55" t="s">
        <v>23</v>
      </c>
      <c r="C380" s="55" t="s">
        <v>115</v>
      </c>
      <c r="D380" s="70" t="s">
        <v>113</v>
      </c>
      <c r="E380" s="59">
        <v>75</v>
      </c>
      <c r="F380" s="59">
        <v>81.099999999999994</v>
      </c>
      <c r="G380" s="59">
        <v>75</v>
      </c>
      <c r="H380" s="59">
        <v>75</v>
      </c>
      <c r="I380" s="59">
        <v>76.55</v>
      </c>
      <c r="J380" s="66">
        <f t="shared" si="5"/>
        <v>76.53</v>
      </c>
      <c r="K380" s="51">
        <v>132</v>
      </c>
      <c r="N380" s="14">
        <f>IF(ROUNDUP(IF(K380 &gt; 132, K380 / 40, K380 / 36), 0) &gt;= 7, 6, ROUNDUP(IF(K380 &gt; 132, K380 / 40, K380 / 36), 0))</f>
        <v>4</v>
      </c>
      <c r="O380" s="28">
        <f>L380*K380</f>
        <v>0</v>
      </c>
      <c r="P380" s="28">
        <f>K380*M380</f>
        <v>0</v>
      </c>
      <c r="Q380" s="15">
        <v>0</v>
      </c>
      <c r="R380" s="15">
        <v>1</v>
      </c>
      <c r="S380" s="15">
        <v>3</v>
      </c>
      <c r="T380" s="15">
        <v>1</v>
      </c>
      <c r="U380" s="75" t="s">
        <v>422</v>
      </c>
      <c r="V380" s="15">
        <v>0</v>
      </c>
    </row>
    <row r="381" spans="1:22">
      <c r="A381" s="63" t="s">
        <v>409</v>
      </c>
      <c r="B381" s="55" t="s">
        <v>23</v>
      </c>
      <c r="C381" s="55" t="s">
        <v>423</v>
      </c>
      <c r="D381" s="69" t="s">
        <v>113</v>
      </c>
      <c r="E381" s="59">
        <v>75</v>
      </c>
      <c r="F381" s="59">
        <v>75</v>
      </c>
      <c r="G381" s="59">
        <v>75</v>
      </c>
      <c r="H381" s="59">
        <v>77.3</v>
      </c>
      <c r="I381" s="59">
        <v>75.900000000000006</v>
      </c>
      <c r="J381" s="66">
        <f t="shared" si="5"/>
        <v>75.640000000000015</v>
      </c>
      <c r="K381" s="51">
        <v>132</v>
      </c>
      <c r="N381" s="14">
        <f>IF(ROUNDUP(IF(K381 &gt; 132, K381 / 40, K381 / 36), 0) &gt;= 7, 6, ROUNDUP(IF(K381 &gt; 132, K381 / 40, K381 / 36), 0))</f>
        <v>4</v>
      </c>
      <c r="O381" s="28">
        <f>L381*K381</f>
        <v>0</v>
      </c>
      <c r="P381" s="28">
        <f>K381*M381</f>
        <v>0</v>
      </c>
      <c r="Q381" s="15">
        <v>0</v>
      </c>
      <c r="R381" s="15">
        <v>1</v>
      </c>
      <c r="S381" s="15">
        <v>3</v>
      </c>
      <c r="T381" s="15">
        <v>1</v>
      </c>
      <c r="U381" s="75" t="s">
        <v>424</v>
      </c>
      <c r="V381" s="15">
        <v>0</v>
      </c>
    </row>
    <row r="382" spans="1:22">
      <c r="A382" s="63" t="s">
        <v>409</v>
      </c>
      <c r="B382" s="55" t="s">
        <v>23</v>
      </c>
      <c r="C382" s="55" t="s">
        <v>117</v>
      </c>
      <c r="D382" s="69" t="s">
        <v>113</v>
      </c>
      <c r="E382" s="59">
        <v>75</v>
      </c>
      <c r="F382" s="59">
        <v>84</v>
      </c>
      <c r="G382" s="59">
        <v>75.95</v>
      </c>
      <c r="H382" s="59">
        <v>76.25</v>
      </c>
      <c r="I382" s="59">
        <v>79.2</v>
      </c>
      <c r="J382" s="66">
        <f t="shared" si="5"/>
        <v>78.08</v>
      </c>
      <c r="K382" s="51">
        <v>132</v>
      </c>
      <c r="N382" s="14">
        <f>IF(ROUNDUP(IF(K382 &gt; 132, K382 / 40, K382 / 36), 0) &gt;= 7, 6, ROUNDUP(IF(K382 &gt; 132, K382 / 40, K382 / 36), 0))</f>
        <v>4</v>
      </c>
      <c r="O382" s="28">
        <f>L382*K382</f>
        <v>0</v>
      </c>
      <c r="P382" s="28">
        <f>K382*M382</f>
        <v>0</v>
      </c>
      <c r="Q382" s="15">
        <v>0</v>
      </c>
      <c r="R382" s="15">
        <v>1</v>
      </c>
      <c r="S382" s="15">
        <v>3</v>
      </c>
      <c r="T382" s="15">
        <v>1</v>
      </c>
      <c r="U382" s="75" t="s">
        <v>425</v>
      </c>
      <c r="V382" s="15">
        <v>0</v>
      </c>
    </row>
    <row r="383" spans="1:22">
      <c r="A383" s="63" t="s">
        <v>409</v>
      </c>
      <c r="B383" s="55" t="s">
        <v>23</v>
      </c>
      <c r="C383" s="55" t="s">
        <v>112</v>
      </c>
      <c r="D383" s="69" t="s">
        <v>113</v>
      </c>
      <c r="E383" s="59">
        <v>81.900000000000006</v>
      </c>
      <c r="F383" s="59">
        <v>93.2</v>
      </c>
      <c r="G383" s="59">
        <v>88.05</v>
      </c>
      <c r="H383" s="59">
        <v>87.75</v>
      </c>
      <c r="I383" s="59">
        <v>88.55</v>
      </c>
      <c r="J383" s="66">
        <f t="shared" si="5"/>
        <v>87.890000000000015</v>
      </c>
      <c r="K383" s="51">
        <v>141</v>
      </c>
      <c r="N383" s="14">
        <f>IF(ROUNDUP(IF(K383 &gt; 132, K383 / 40, K383 / 36), 0) &gt;= 7, 6, ROUNDUP(IF(K383 &gt; 132, K383 / 40, K383 / 36), 0))</f>
        <v>4</v>
      </c>
      <c r="O383" s="28">
        <f>L383*K383</f>
        <v>0</v>
      </c>
      <c r="P383" s="28">
        <f>K383*M383</f>
        <v>0</v>
      </c>
      <c r="Q383" s="15">
        <v>0</v>
      </c>
      <c r="R383" s="15">
        <v>1</v>
      </c>
      <c r="S383" s="15">
        <v>3</v>
      </c>
      <c r="T383" s="15">
        <v>1</v>
      </c>
      <c r="U383" s="75" t="s">
        <v>320</v>
      </c>
      <c r="V383" s="15">
        <v>0</v>
      </c>
    </row>
    <row r="384" spans="1:22">
      <c r="A384" s="63" t="s">
        <v>409</v>
      </c>
      <c r="B384" s="55" t="s">
        <v>23</v>
      </c>
      <c r="C384" s="55" t="s">
        <v>426</v>
      </c>
      <c r="D384" s="70" t="s">
        <v>113</v>
      </c>
      <c r="E384" s="59">
        <v>75</v>
      </c>
      <c r="F384" s="15">
        <v>75.2</v>
      </c>
      <c r="G384" s="59">
        <v>75.3</v>
      </c>
      <c r="H384" s="59">
        <v>75.05</v>
      </c>
      <c r="I384" s="59">
        <v>76.5</v>
      </c>
      <c r="J384" s="66">
        <f t="shared" si="5"/>
        <v>75.41</v>
      </c>
      <c r="K384" s="51">
        <v>132</v>
      </c>
      <c r="N384" s="14">
        <f>IF(ROUNDUP(IF(K384 &gt; 132, K384 / 40, K384 / 36), 0) &gt;= 7, 6, ROUNDUP(IF(K384 &gt; 132, K384 / 40, K384 / 36), 0))</f>
        <v>4</v>
      </c>
      <c r="O384" s="28">
        <f>L384*K384</f>
        <v>0</v>
      </c>
      <c r="P384" s="28">
        <f>K384*M384</f>
        <v>0</v>
      </c>
      <c r="Q384" s="15">
        <v>0</v>
      </c>
      <c r="R384" s="15">
        <v>1</v>
      </c>
      <c r="S384" s="15">
        <v>3</v>
      </c>
      <c r="T384" s="15">
        <v>1</v>
      </c>
      <c r="U384" s="75" t="s">
        <v>427</v>
      </c>
      <c r="V384" s="15">
        <v>0</v>
      </c>
    </row>
    <row r="385" spans="1:22">
      <c r="A385" s="63" t="s">
        <v>409</v>
      </c>
      <c r="B385" s="55" t="s">
        <v>23</v>
      </c>
      <c r="C385" s="55" t="s">
        <v>428</v>
      </c>
      <c r="D385" s="69" t="s">
        <v>113</v>
      </c>
      <c r="E385" s="59">
        <v>75</v>
      </c>
      <c r="F385" s="59">
        <v>85.1</v>
      </c>
      <c r="G385" s="15">
        <v>80.05</v>
      </c>
      <c r="H385" s="15">
        <v>81.86</v>
      </c>
      <c r="I385" s="59">
        <v>87.3</v>
      </c>
      <c r="J385" s="66">
        <f t="shared" si="5"/>
        <v>81.861999999999995</v>
      </c>
      <c r="K385" s="51">
        <v>132</v>
      </c>
      <c r="N385" s="14">
        <f>IF(ROUNDUP(IF(K385 &gt; 132, K385 / 40, K385 / 36), 0) &gt;= 7, 6, ROUNDUP(IF(K385 &gt; 132, K385 / 40, K385 / 36), 0))</f>
        <v>4</v>
      </c>
      <c r="O385" s="28">
        <f>L385*K385</f>
        <v>0</v>
      </c>
      <c r="P385" s="28">
        <f>K385*M385</f>
        <v>0</v>
      </c>
      <c r="Q385" s="15">
        <v>0</v>
      </c>
      <c r="R385" s="15">
        <v>1</v>
      </c>
      <c r="S385" s="15">
        <v>3</v>
      </c>
      <c r="T385" s="15">
        <v>1</v>
      </c>
      <c r="U385" s="75" t="s">
        <v>429</v>
      </c>
      <c r="V385" s="15">
        <v>0</v>
      </c>
    </row>
    <row r="386" spans="1:22">
      <c r="A386" s="63" t="s">
        <v>409</v>
      </c>
      <c r="B386" s="55" t="s">
        <v>23</v>
      </c>
      <c r="C386" s="55" t="s">
        <v>430</v>
      </c>
      <c r="D386" s="69" t="s">
        <v>113</v>
      </c>
      <c r="E386" s="59">
        <v>75</v>
      </c>
      <c r="F386" s="59">
        <v>75</v>
      </c>
      <c r="G386" s="59">
        <v>75.150000000000006</v>
      </c>
      <c r="H386" s="59">
        <v>75.05</v>
      </c>
      <c r="I386" s="59">
        <v>75.2</v>
      </c>
      <c r="J386" s="66">
        <f t="shared" ref="J386:J449" si="6">AVERAGE(E386:I386)</f>
        <v>75.08</v>
      </c>
      <c r="K386" s="51">
        <v>132</v>
      </c>
      <c r="N386" s="14">
        <f>IF(ROUNDUP(IF(K386 &gt; 132, K386 / 40, K386 / 36), 0) &gt;= 7, 6, ROUNDUP(IF(K386 &gt; 132, K386 / 40, K386 / 36), 0))</f>
        <v>4</v>
      </c>
      <c r="O386" s="28">
        <f>L386*K386</f>
        <v>0</v>
      </c>
      <c r="P386" s="28">
        <f>K386*M386</f>
        <v>0</v>
      </c>
      <c r="Q386" s="15">
        <v>0</v>
      </c>
      <c r="R386" s="15">
        <v>1</v>
      </c>
      <c r="S386" s="15">
        <v>3</v>
      </c>
      <c r="T386" s="15">
        <v>1</v>
      </c>
      <c r="U386" s="75" t="s">
        <v>431</v>
      </c>
      <c r="V386" s="15">
        <v>0</v>
      </c>
    </row>
    <row r="387" spans="1:22">
      <c r="A387" s="63" t="s">
        <v>409</v>
      </c>
      <c r="B387" s="55" t="s">
        <v>23</v>
      </c>
      <c r="C387" s="55" t="s">
        <v>432</v>
      </c>
      <c r="D387" s="69" t="s">
        <v>113</v>
      </c>
      <c r="E387" s="59">
        <v>75</v>
      </c>
      <c r="F387" s="59">
        <v>75.5</v>
      </c>
      <c r="G387" s="59">
        <v>75</v>
      </c>
      <c r="H387" s="59">
        <v>75.3</v>
      </c>
      <c r="I387" s="59">
        <v>75.349999999999994</v>
      </c>
      <c r="J387" s="66">
        <f t="shared" si="6"/>
        <v>75.22999999999999</v>
      </c>
      <c r="K387" s="51">
        <v>132</v>
      </c>
      <c r="N387" s="14">
        <f>IF(ROUNDUP(IF(K387 &gt; 132, K387 / 40, K387 / 36), 0) &gt;= 7, 6, ROUNDUP(IF(K387 &gt; 132, K387 / 40, K387 / 36), 0))</f>
        <v>4</v>
      </c>
      <c r="O387" s="28">
        <f>L387*K387</f>
        <v>0</v>
      </c>
      <c r="P387" s="28">
        <f>K387*M387</f>
        <v>0</v>
      </c>
      <c r="Q387" s="15">
        <v>0</v>
      </c>
      <c r="R387" s="15">
        <v>1</v>
      </c>
      <c r="S387" s="15">
        <v>3</v>
      </c>
      <c r="T387" s="15">
        <v>1</v>
      </c>
      <c r="U387" s="75" t="s">
        <v>433</v>
      </c>
      <c r="V387" s="15">
        <v>0</v>
      </c>
    </row>
    <row r="388" spans="1:22">
      <c r="A388" s="63" t="s">
        <v>409</v>
      </c>
      <c r="B388" s="55" t="s">
        <v>23</v>
      </c>
      <c r="C388" s="55" t="s">
        <v>434</v>
      </c>
      <c r="D388" s="69" t="s">
        <v>113</v>
      </c>
      <c r="E388" s="59">
        <v>65.8</v>
      </c>
      <c r="F388" s="59">
        <v>80.599999999999994</v>
      </c>
      <c r="G388" s="59">
        <v>77.150000000000006</v>
      </c>
      <c r="H388" s="59">
        <v>74.099999999999994</v>
      </c>
      <c r="I388" s="59">
        <v>78.5</v>
      </c>
      <c r="J388" s="66">
        <f t="shared" si="6"/>
        <v>75.22999999999999</v>
      </c>
      <c r="K388" s="51">
        <v>132</v>
      </c>
      <c r="N388" s="14">
        <f>IF(ROUNDUP(IF(K388 &gt; 132, K388 / 40, K388 / 36), 0) &gt;= 7, 6, ROUNDUP(IF(K388 &gt; 132, K388 / 40, K388 / 36), 0))</f>
        <v>4</v>
      </c>
      <c r="O388" s="28">
        <f>L388*K388</f>
        <v>0</v>
      </c>
      <c r="P388" s="28">
        <f>K388*M388</f>
        <v>0</v>
      </c>
      <c r="Q388" s="15">
        <v>0</v>
      </c>
      <c r="R388" s="15">
        <v>1</v>
      </c>
      <c r="S388" s="15">
        <v>3</v>
      </c>
      <c r="T388" s="15">
        <v>1</v>
      </c>
      <c r="U388" t="s">
        <v>435</v>
      </c>
      <c r="V388" s="15">
        <v>0</v>
      </c>
    </row>
    <row r="389" spans="1:22">
      <c r="A389" s="63"/>
      <c r="B389" s="55"/>
      <c r="E389" s="73"/>
      <c r="F389" s="73"/>
      <c r="G389" s="73"/>
      <c r="H389" s="73"/>
      <c r="I389" s="73"/>
      <c r="J389" s="14" t="e">
        <f t="shared" si="6"/>
        <v>#DIV/0!</v>
      </c>
      <c r="N389" s="14">
        <f>IF(ROUNDUP(IF(K389 &gt; 132, K389 / 40, K389 / 36), 0) &gt;= 7, 6, ROUNDUP(IF(K389 &gt; 132, K389 / 40, K389 / 36), 0))</f>
        <v>0</v>
      </c>
      <c r="O389" s="28">
        <f>L389*K389</f>
        <v>0</v>
      </c>
      <c r="P389" s="28">
        <f>K389*M389</f>
        <v>0</v>
      </c>
      <c r="V389" s="15"/>
    </row>
    <row r="390" spans="1:22">
      <c r="A390" s="63"/>
      <c r="B390" s="55"/>
      <c r="J390" s="14" t="e">
        <f t="shared" si="6"/>
        <v>#DIV/0!</v>
      </c>
      <c r="N390" s="14">
        <f>IF(ROUNDUP(IF(K390 &gt; 132, K390 / 40, K390 / 36), 0) &gt;= 7, 6, ROUNDUP(IF(K390 &gt; 132, K390 / 40, K390 / 36), 0))</f>
        <v>0</v>
      </c>
      <c r="O390" s="28">
        <f>L390*K390</f>
        <v>0</v>
      </c>
      <c r="P390" s="28">
        <f>K390*M390</f>
        <v>0</v>
      </c>
      <c r="V390" s="15"/>
    </row>
    <row r="391" spans="1:22">
      <c r="A391" s="55"/>
      <c r="B391" s="55"/>
      <c r="J391" s="14" t="e">
        <f t="shared" si="6"/>
        <v>#DIV/0!</v>
      </c>
      <c r="N391" s="14">
        <f>IF(ROUNDUP(IF(K391 &gt; 132, K391 / 40, K391 / 36), 0) &gt;= 7, 6, ROUNDUP(IF(K391 &gt; 132, K391 / 40, K391 / 36), 0))</f>
        <v>0</v>
      </c>
      <c r="O391" s="28">
        <f>L391*K391</f>
        <v>0</v>
      </c>
      <c r="P391" s="28">
        <f>K391*M391</f>
        <v>0</v>
      </c>
      <c r="V391" s="15"/>
    </row>
    <row r="392" spans="1:22">
      <c r="A392" s="55"/>
      <c r="B392" s="55"/>
      <c r="J392" s="14" t="e">
        <f t="shared" si="6"/>
        <v>#DIV/0!</v>
      </c>
      <c r="N392" s="14">
        <f>IF(ROUNDUP(IF(K392 &gt; 132, K392 / 40, K392 / 36), 0) &gt;= 7, 6, ROUNDUP(IF(K392 &gt; 132, K392 / 40, K392 / 36), 0))</f>
        <v>0</v>
      </c>
      <c r="O392" s="28">
        <f>L392*K392</f>
        <v>0</v>
      </c>
      <c r="P392" s="28">
        <f>K392*M392</f>
        <v>0</v>
      </c>
      <c r="V392" s="15"/>
    </row>
    <row r="393" spans="1:22">
      <c r="A393" s="55"/>
      <c r="B393" s="55"/>
      <c r="J393" s="14" t="e">
        <f t="shared" si="6"/>
        <v>#DIV/0!</v>
      </c>
      <c r="N393" s="14">
        <f>IF(ROUNDUP(IF(K393 &gt; 132, K393 / 40, K393 / 36), 0) &gt;= 7, 6, ROUNDUP(IF(K393 &gt; 132, K393 / 40, K393 / 36), 0))</f>
        <v>0</v>
      </c>
      <c r="O393" s="28">
        <f>L393*K393</f>
        <v>0</v>
      </c>
      <c r="P393" s="28">
        <f>K393*M393</f>
        <v>0</v>
      </c>
      <c r="V393" s="15"/>
    </row>
    <row r="394" spans="1:22">
      <c r="A394" s="55"/>
      <c r="B394" s="55"/>
      <c r="J394" s="14" t="e">
        <f t="shared" si="6"/>
        <v>#DIV/0!</v>
      </c>
      <c r="N394" s="14">
        <f>IF(ROUNDUP(IF(K394 &gt; 132, K394 / 40, K394 / 36), 0) &gt;= 7, 6, ROUNDUP(IF(K394 &gt; 132, K394 / 40, K394 / 36), 0))</f>
        <v>0</v>
      </c>
      <c r="O394" s="28">
        <f>L394*K394</f>
        <v>0</v>
      </c>
      <c r="P394" s="28">
        <f>K394*M394</f>
        <v>0</v>
      </c>
      <c r="V394" s="15"/>
    </row>
    <row r="395" spans="1:22">
      <c r="A395" s="55"/>
      <c r="B395" s="55"/>
      <c r="J395" s="14" t="e">
        <f t="shared" si="6"/>
        <v>#DIV/0!</v>
      </c>
      <c r="N395" s="14">
        <f>IF(ROUNDUP(IF(K395 &gt; 132, K395 / 40, K395 / 36), 0) &gt;= 7, 6, ROUNDUP(IF(K395 &gt; 132, K395 / 40, K395 / 36), 0))</f>
        <v>0</v>
      </c>
      <c r="O395" s="28">
        <f>L395*K395</f>
        <v>0</v>
      </c>
      <c r="P395" s="28">
        <f>K395*M395</f>
        <v>0</v>
      </c>
    </row>
    <row r="396" spans="1:22">
      <c r="J396" s="14" t="e">
        <f t="shared" si="6"/>
        <v>#DIV/0!</v>
      </c>
      <c r="N396" s="14">
        <f>IF(ROUNDUP(IF(K396 &gt; 132, K396 / 40, K396 / 36), 0) &gt;= 7, 6, ROUNDUP(IF(K396 &gt; 132, K396 / 40, K396 / 36), 0))</f>
        <v>0</v>
      </c>
      <c r="O396" s="28">
        <f>L396*K396</f>
        <v>0</v>
      </c>
      <c r="P396" s="28">
        <f>K396*M396</f>
        <v>0</v>
      </c>
    </row>
    <row r="397" spans="1:22">
      <c r="J397" s="14" t="e">
        <f t="shared" si="6"/>
        <v>#DIV/0!</v>
      </c>
      <c r="N397" s="14">
        <f>IF(ROUNDUP(IF(K397 &gt; 132, K397 / 40, K397 / 36), 0) &gt;= 7, 6, ROUNDUP(IF(K397 &gt; 132, K397 / 40, K397 / 36), 0))</f>
        <v>0</v>
      </c>
      <c r="O397" s="28">
        <f>L397*K397</f>
        <v>0</v>
      </c>
      <c r="P397" s="28">
        <f>K397*M397</f>
        <v>0</v>
      </c>
    </row>
    <row r="398" spans="1:22">
      <c r="J398" s="14" t="e">
        <f t="shared" si="6"/>
        <v>#DIV/0!</v>
      </c>
      <c r="N398" s="14">
        <f>IF(ROUNDUP(IF(K398 &gt; 132, K398 / 40, K398 / 36), 0) &gt;= 7, 6, ROUNDUP(IF(K398 &gt; 132, K398 / 40, K398 / 36), 0))</f>
        <v>0</v>
      </c>
      <c r="O398" s="28">
        <f>L398*K398</f>
        <v>0</v>
      </c>
      <c r="P398" s="28">
        <f>K398*M398</f>
        <v>0</v>
      </c>
    </row>
    <row r="399" spans="1:22">
      <c r="J399" s="14" t="e">
        <f t="shared" si="6"/>
        <v>#DIV/0!</v>
      </c>
      <c r="N399" s="14">
        <f>IF(ROUNDUP(IF(K399 &gt; 132, K399 / 40, K399 / 36), 0) &gt;= 7, 6, ROUNDUP(IF(K399 &gt; 132, K399 / 40, K399 / 36), 0))</f>
        <v>0</v>
      </c>
      <c r="O399" s="28">
        <f>L399*K399</f>
        <v>0</v>
      </c>
      <c r="P399" s="28">
        <f>K399*M399</f>
        <v>0</v>
      </c>
    </row>
    <row r="400" spans="1:22">
      <c r="J400" s="14" t="e">
        <f t="shared" si="6"/>
        <v>#DIV/0!</v>
      </c>
      <c r="N400" s="14">
        <f>IF(ROUNDUP(IF(K400 &gt; 132, K400 / 40, K400 / 36), 0) &gt;= 7, 6, ROUNDUP(IF(K400 &gt; 132, K400 / 40, K400 / 36), 0))</f>
        <v>0</v>
      </c>
      <c r="O400" s="28">
        <f>L400*K400</f>
        <v>0</v>
      </c>
      <c r="P400" s="28">
        <f>K400*M400</f>
        <v>0</v>
      </c>
    </row>
    <row r="401" spans="10:16">
      <c r="J401" s="14" t="e">
        <f t="shared" si="6"/>
        <v>#DIV/0!</v>
      </c>
      <c r="N401" s="14">
        <f>IF(ROUNDUP(IF(K401 &gt; 132, K401 / 40, K401 / 36), 0) &gt;= 7, 6, ROUNDUP(IF(K401 &gt; 132, K401 / 40, K401 / 36), 0))</f>
        <v>0</v>
      </c>
      <c r="O401" s="28">
        <f>L401*K401</f>
        <v>0</v>
      </c>
      <c r="P401" s="28">
        <f>K401*M401</f>
        <v>0</v>
      </c>
    </row>
    <row r="402" spans="10:16">
      <c r="J402" s="14" t="e">
        <f t="shared" si="6"/>
        <v>#DIV/0!</v>
      </c>
      <c r="N402" s="14">
        <f>IF(ROUNDUP(IF(K402 &gt; 132, K402 / 40, K402 / 36), 0) &gt;= 7, 6, ROUNDUP(IF(K402 &gt; 132, K402 / 40, K402 / 36), 0))</f>
        <v>0</v>
      </c>
      <c r="O402" s="28">
        <f>L402*K402</f>
        <v>0</v>
      </c>
      <c r="P402" s="28">
        <f>K402*M402</f>
        <v>0</v>
      </c>
    </row>
    <row r="403" spans="10:16">
      <c r="J403" s="14" t="e">
        <f t="shared" si="6"/>
        <v>#DIV/0!</v>
      </c>
      <c r="N403" s="14">
        <f>IF(ROUNDUP(IF(K403 &gt; 132, K403 / 40, K403 / 36), 0) &gt;= 7, 6, ROUNDUP(IF(K403 &gt; 132, K403 / 40, K403 / 36), 0))</f>
        <v>0</v>
      </c>
      <c r="O403" s="28">
        <f>L403*K403</f>
        <v>0</v>
      </c>
      <c r="P403" s="28">
        <f>K403*M403</f>
        <v>0</v>
      </c>
    </row>
    <row r="404" spans="10:16">
      <c r="J404" s="14" t="e">
        <f t="shared" si="6"/>
        <v>#DIV/0!</v>
      </c>
      <c r="N404" s="14">
        <f>IF(ROUNDUP(IF(K404 &gt; 132, K404 / 40, K404 / 36), 0) &gt;= 7, 6, ROUNDUP(IF(K404 &gt; 132, K404 / 40, K404 / 36), 0))</f>
        <v>0</v>
      </c>
      <c r="O404" s="28">
        <f>L404*K404</f>
        <v>0</v>
      </c>
      <c r="P404" s="28">
        <f>K404*M404</f>
        <v>0</v>
      </c>
    </row>
    <row r="405" spans="10:16">
      <c r="J405" s="14" t="e">
        <f t="shared" si="6"/>
        <v>#DIV/0!</v>
      </c>
      <c r="N405" s="14">
        <f>IF(ROUNDUP(IF(K405 &gt; 132, K405 / 40, K405 / 36), 0) &gt;= 7, 6, ROUNDUP(IF(K405 &gt; 132, K405 / 40, K405 / 36), 0))</f>
        <v>0</v>
      </c>
      <c r="O405" s="28">
        <f>L405*K405</f>
        <v>0</v>
      </c>
      <c r="P405" s="28">
        <f>K405*M405</f>
        <v>0</v>
      </c>
    </row>
    <row r="406" spans="10:16">
      <c r="J406" s="14" t="e">
        <f t="shared" si="6"/>
        <v>#DIV/0!</v>
      </c>
      <c r="N406" s="14">
        <f>IF(ROUNDUP(IF(K406 &gt; 132, K406 / 40, K406 / 36), 0) &gt;= 7, 6, ROUNDUP(IF(K406 &gt; 132, K406 / 40, K406 / 36), 0))</f>
        <v>0</v>
      </c>
      <c r="O406" s="28">
        <f>L406*K406</f>
        <v>0</v>
      </c>
      <c r="P406" s="28">
        <f>K406*M406</f>
        <v>0</v>
      </c>
    </row>
    <row r="407" spans="10:16">
      <c r="J407" s="14" t="e">
        <f t="shared" si="6"/>
        <v>#DIV/0!</v>
      </c>
      <c r="N407" s="14">
        <f>IF(ROUNDUP(IF(K407 &gt; 132, K407 / 40, K407 / 36), 0) &gt;= 7, 6, ROUNDUP(IF(K407 &gt; 132, K407 / 40, K407 / 36), 0))</f>
        <v>0</v>
      </c>
      <c r="O407" s="28">
        <f>L407*K407</f>
        <v>0</v>
      </c>
      <c r="P407" s="28">
        <f>K407*M407</f>
        <v>0</v>
      </c>
    </row>
    <row r="408" spans="10:16">
      <c r="J408" s="14" t="e">
        <f t="shared" si="6"/>
        <v>#DIV/0!</v>
      </c>
      <c r="N408" s="14">
        <f>IF(ROUNDUP(IF(K408 &gt; 132, K408 / 40, K408 / 36), 0) &gt;= 7, 6, ROUNDUP(IF(K408 &gt; 132, K408 / 40, K408 / 36), 0))</f>
        <v>0</v>
      </c>
      <c r="O408" s="28">
        <f>L408*K408</f>
        <v>0</v>
      </c>
      <c r="P408" s="28">
        <f>K408*M408</f>
        <v>0</v>
      </c>
    </row>
    <row r="409" spans="10:16">
      <c r="J409" s="14" t="e">
        <f t="shared" si="6"/>
        <v>#DIV/0!</v>
      </c>
      <c r="N409" s="14">
        <f>IF(ROUNDUP(IF(K409 &gt; 132, K409 / 40, K409 / 36), 0) &gt;= 7, 6, ROUNDUP(IF(K409 &gt; 132, K409 / 40, K409 / 36), 0))</f>
        <v>0</v>
      </c>
      <c r="O409" s="28">
        <f>L409*K409</f>
        <v>0</v>
      </c>
      <c r="P409" s="28">
        <f>K409*M409</f>
        <v>0</v>
      </c>
    </row>
    <row r="410" spans="10:16">
      <c r="J410" s="14" t="e">
        <f t="shared" si="6"/>
        <v>#DIV/0!</v>
      </c>
      <c r="N410" s="14">
        <f>IF(ROUNDUP(IF(K410 &gt; 132, K410 / 40, K410 / 36), 0) &gt;= 7, 6, ROUNDUP(IF(K410 &gt; 132, K410 / 40, K410 / 36), 0))</f>
        <v>0</v>
      </c>
      <c r="O410" s="28">
        <f>L410*K410</f>
        <v>0</v>
      </c>
      <c r="P410" s="28">
        <f>K410*M410</f>
        <v>0</v>
      </c>
    </row>
    <row r="411" spans="10:16">
      <c r="J411" s="14" t="e">
        <f t="shared" si="6"/>
        <v>#DIV/0!</v>
      </c>
      <c r="N411" s="14">
        <f>IF(ROUNDUP(IF(K411 &gt; 132, K411 / 40, K411 / 36), 0) &gt;= 7, 6, ROUNDUP(IF(K411 &gt; 132, K411 / 40, K411 / 36), 0))</f>
        <v>0</v>
      </c>
      <c r="O411" s="28">
        <f>L411*K411</f>
        <v>0</v>
      </c>
      <c r="P411" s="28">
        <f>K411*M411</f>
        <v>0</v>
      </c>
    </row>
    <row r="412" spans="10:16">
      <c r="J412" s="14" t="e">
        <f t="shared" si="6"/>
        <v>#DIV/0!</v>
      </c>
      <c r="N412" s="14">
        <f>IF(ROUNDUP(IF(K412 &gt; 132, K412 / 40, K412 / 36), 0) &gt;= 7, 6, ROUNDUP(IF(K412 &gt; 132, K412 / 40, K412 / 36), 0))</f>
        <v>0</v>
      </c>
      <c r="O412" s="28">
        <f>L412*K412</f>
        <v>0</v>
      </c>
      <c r="P412" s="28">
        <f>K412*M412</f>
        <v>0</v>
      </c>
    </row>
    <row r="413" spans="10:16">
      <c r="J413" s="14" t="e">
        <f t="shared" si="6"/>
        <v>#DIV/0!</v>
      </c>
      <c r="N413" s="14">
        <f>IF(ROUNDUP(IF(K413 &gt; 132, K413 / 40, K413 / 36), 0) &gt;= 7, 6, ROUNDUP(IF(K413 &gt; 132, K413 / 40, K413 / 36), 0))</f>
        <v>0</v>
      </c>
      <c r="O413" s="28">
        <f>L413*K413</f>
        <v>0</v>
      </c>
      <c r="P413" s="28">
        <f>K413*M413</f>
        <v>0</v>
      </c>
    </row>
    <row r="414" spans="10:16">
      <c r="J414" s="14" t="e">
        <f t="shared" si="6"/>
        <v>#DIV/0!</v>
      </c>
      <c r="N414" s="14">
        <f>IF(ROUNDUP(IF(K414 &gt; 132, K414 / 40, K414 / 36), 0) &gt;= 7, 6, ROUNDUP(IF(K414 &gt; 132, K414 / 40, K414 / 36), 0))</f>
        <v>0</v>
      </c>
      <c r="O414" s="28">
        <f>L414*K414</f>
        <v>0</v>
      </c>
      <c r="P414" s="28">
        <f>K414*M414</f>
        <v>0</v>
      </c>
    </row>
    <row r="415" spans="10:16">
      <c r="J415" s="14" t="e">
        <f t="shared" si="6"/>
        <v>#DIV/0!</v>
      </c>
      <c r="N415" s="14">
        <f>IF(ROUNDUP(IF(K415 &gt; 132, K415 / 40, K415 / 36), 0) &gt;= 7, 6, ROUNDUP(IF(K415 &gt; 132, K415 / 40, K415 / 36), 0))</f>
        <v>0</v>
      </c>
      <c r="O415" s="28">
        <f>L415*K415</f>
        <v>0</v>
      </c>
      <c r="P415" s="28">
        <f>K415*M415</f>
        <v>0</v>
      </c>
    </row>
    <row r="416" spans="10:16">
      <c r="J416" s="14" t="e">
        <f t="shared" si="6"/>
        <v>#DIV/0!</v>
      </c>
      <c r="N416" s="14">
        <f>IF(ROUNDUP(IF(K416 &gt; 132, K416 / 40, K416 / 36), 0) &gt;= 7, 6, ROUNDUP(IF(K416 &gt; 132, K416 / 40, K416 / 36), 0))</f>
        <v>0</v>
      </c>
      <c r="O416" s="28">
        <f>L416*K416</f>
        <v>0</v>
      </c>
      <c r="P416" s="28">
        <f>K416*M416</f>
        <v>0</v>
      </c>
    </row>
    <row r="417" spans="10:16">
      <c r="J417" s="14" t="e">
        <f t="shared" si="6"/>
        <v>#DIV/0!</v>
      </c>
      <c r="N417" s="14">
        <f>IF(ROUNDUP(IF(K417 &gt; 132, K417 / 40, K417 / 36), 0) &gt;= 7, 6, ROUNDUP(IF(K417 &gt; 132, K417 / 40, K417 / 36), 0))</f>
        <v>0</v>
      </c>
      <c r="O417" s="28">
        <f>L417*K417</f>
        <v>0</v>
      </c>
      <c r="P417" s="28">
        <f>K417*M417</f>
        <v>0</v>
      </c>
    </row>
    <row r="418" spans="10:16">
      <c r="J418" s="14" t="e">
        <f t="shared" si="6"/>
        <v>#DIV/0!</v>
      </c>
      <c r="N418" s="14">
        <f>IF(ROUNDUP(IF(K418 &gt; 132, K418 / 40, K418 / 36), 0) &gt;= 7, 6, ROUNDUP(IF(K418 &gt; 132, K418 / 40, K418 / 36), 0))</f>
        <v>0</v>
      </c>
      <c r="O418" s="28">
        <f>L418*K418</f>
        <v>0</v>
      </c>
      <c r="P418" s="28">
        <f>K418*M418</f>
        <v>0</v>
      </c>
    </row>
    <row r="419" spans="10:16">
      <c r="J419" s="14" t="e">
        <f t="shared" si="6"/>
        <v>#DIV/0!</v>
      </c>
      <c r="N419" s="14">
        <f>IF(ROUNDUP(IF(K419 &gt; 132, K419 / 40, K419 / 36), 0) &gt;= 7, 6, ROUNDUP(IF(K419 &gt; 132, K419 / 40, K419 / 36), 0))</f>
        <v>0</v>
      </c>
      <c r="O419" s="28">
        <f>L419*K419</f>
        <v>0</v>
      </c>
      <c r="P419" s="28">
        <f>K419*M419</f>
        <v>0</v>
      </c>
    </row>
    <row r="420" spans="10:16">
      <c r="J420" s="14" t="e">
        <f t="shared" si="6"/>
        <v>#DIV/0!</v>
      </c>
      <c r="N420" s="14">
        <f>IF(ROUNDUP(IF(K420 &gt; 132, K420 / 40, K420 / 36), 0) &gt;= 7, 6, ROUNDUP(IF(K420 &gt; 132, K420 / 40, K420 / 36), 0))</f>
        <v>0</v>
      </c>
      <c r="O420" s="28">
        <f>L420*K420</f>
        <v>0</v>
      </c>
      <c r="P420" s="28">
        <f>K420*M420</f>
        <v>0</v>
      </c>
    </row>
    <row r="421" spans="10:16">
      <c r="J421" s="14" t="e">
        <f t="shared" si="6"/>
        <v>#DIV/0!</v>
      </c>
      <c r="N421" s="14">
        <f>IF(ROUNDUP(IF(K421 &gt; 132, K421 / 40, K421 / 36), 0) &gt;= 7, 6, ROUNDUP(IF(K421 &gt; 132, K421 / 40, K421 / 36), 0))</f>
        <v>0</v>
      </c>
      <c r="O421" s="28">
        <f>L421*K421</f>
        <v>0</v>
      </c>
      <c r="P421" s="28">
        <f>K421*M421</f>
        <v>0</v>
      </c>
    </row>
    <row r="422" spans="10:16">
      <c r="J422" s="14" t="e">
        <f t="shared" si="6"/>
        <v>#DIV/0!</v>
      </c>
      <c r="N422" s="14">
        <f>IF(ROUNDUP(IF(K422 &gt; 132, K422 / 40, K422 / 36), 0) &gt;= 7, 6, ROUNDUP(IF(K422 &gt; 132, K422 / 40, K422 / 36), 0))</f>
        <v>0</v>
      </c>
      <c r="O422" s="28">
        <f>L422*K422</f>
        <v>0</v>
      </c>
      <c r="P422" s="28">
        <f>K422*M422</f>
        <v>0</v>
      </c>
    </row>
    <row r="423" spans="10:16">
      <c r="J423" s="14" t="e">
        <f t="shared" si="6"/>
        <v>#DIV/0!</v>
      </c>
      <c r="N423" s="14">
        <f>IF(ROUNDUP(IF(K423 &gt; 132, K423 / 40, K423 / 36), 0) &gt;= 7, 6, ROUNDUP(IF(K423 &gt; 132, K423 / 40, K423 / 36), 0))</f>
        <v>0</v>
      </c>
      <c r="O423" s="28">
        <f>L423*K423</f>
        <v>0</v>
      </c>
      <c r="P423" s="28">
        <f>K423*M423</f>
        <v>0</v>
      </c>
    </row>
    <row r="424" spans="10:16">
      <c r="J424" s="14" t="e">
        <f t="shared" si="6"/>
        <v>#DIV/0!</v>
      </c>
      <c r="N424" s="14">
        <f>IF(ROUNDUP(IF(K424 &gt; 132, K424 / 40, K424 / 36), 0) &gt;= 7, 6, ROUNDUP(IF(K424 &gt; 132, K424 / 40, K424 / 36), 0))</f>
        <v>0</v>
      </c>
      <c r="O424" s="28">
        <f>L424*K424</f>
        <v>0</v>
      </c>
      <c r="P424" s="28">
        <f>K424*M424</f>
        <v>0</v>
      </c>
    </row>
    <row r="425" spans="10:16">
      <c r="J425" s="14" t="e">
        <f t="shared" si="6"/>
        <v>#DIV/0!</v>
      </c>
      <c r="N425" s="14">
        <f>IF(ROUNDUP(IF(K425 &gt; 132, K425 / 40, K425 / 36), 0) &gt;= 7, 6, ROUNDUP(IF(K425 &gt; 132, K425 / 40, K425 / 36), 0))</f>
        <v>0</v>
      </c>
      <c r="O425" s="28">
        <f>L425*K425</f>
        <v>0</v>
      </c>
      <c r="P425" s="28">
        <f>K425*M425</f>
        <v>0</v>
      </c>
    </row>
    <row r="426" spans="10:16">
      <c r="J426" s="14" t="e">
        <f t="shared" si="6"/>
        <v>#DIV/0!</v>
      </c>
      <c r="N426" s="14">
        <f>IF(ROUNDUP(IF(K426 &gt; 132, K426 / 40, K426 / 36), 0) &gt;= 7, 6, ROUNDUP(IF(K426 &gt; 132, K426 / 40, K426 / 36), 0))</f>
        <v>0</v>
      </c>
      <c r="O426" s="28">
        <f>L426*K426</f>
        <v>0</v>
      </c>
      <c r="P426" s="28">
        <f>K426*M426</f>
        <v>0</v>
      </c>
    </row>
    <row r="427" spans="10:16">
      <c r="J427" s="14" t="e">
        <f t="shared" si="6"/>
        <v>#DIV/0!</v>
      </c>
      <c r="N427" s="14">
        <f>IF(ROUNDUP(IF(K427 &gt; 132, K427 / 40, K427 / 36), 0) &gt;= 7, 6, ROUNDUP(IF(K427 &gt; 132, K427 / 40, K427 / 36), 0))</f>
        <v>0</v>
      </c>
      <c r="O427" s="28">
        <f>L427*K427</f>
        <v>0</v>
      </c>
      <c r="P427" s="28">
        <f>K427*M427</f>
        <v>0</v>
      </c>
    </row>
    <row r="428" spans="10:16">
      <c r="J428" s="14" t="e">
        <f t="shared" si="6"/>
        <v>#DIV/0!</v>
      </c>
      <c r="N428" s="14">
        <f>IF(ROUNDUP(IF(K428 &gt; 132, K428 / 40, K428 / 36), 0) &gt;= 7, 6, ROUNDUP(IF(K428 &gt; 132, K428 / 40, K428 / 36), 0))</f>
        <v>0</v>
      </c>
      <c r="O428" s="28">
        <f>L428*K428</f>
        <v>0</v>
      </c>
      <c r="P428" s="28">
        <f>K428*M428</f>
        <v>0</v>
      </c>
    </row>
    <row r="429" spans="10:16">
      <c r="J429" s="14" t="e">
        <f t="shared" si="6"/>
        <v>#DIV/0!</v>
      </c>
      <c r="N429" s="14">
        <f>IF(ROUNDUP(IF(K429 &gt; 132, K429 / 40, K429 / 36), 0) &gt;= 7, 6, ROUNDUP(IF(K429 &gt; 132, K429 / 40, K429 / 36), 0))</f>
        <v>0</v>
      </c>
      <c r="O429" s="28">
        <f>L429*K429</f>
        <v>0</v>
      </c>
      <c r="P429" s="28">
        <f>K429*M429</f>
        <v>0</v>
      </c>
    </row>
    <row r="430" spans="10:16">
      <c r="J430" s="14" t="e">
        <f t="shared" si="6"/>
        <v>#DIV/0!</v>
      </c>
      <c r="N430" s="14">
        <f>IF(ROUNDUP(IF(K430 &gt; 132, K430 / 40, K430 / 36), 0) &gt;= 7, 6, ROUNDUP(IF(K430 &gt; 132, K430 / 40, K430 / 36), 0))</f>
        <v>0</v>
      </c>
      <c r="O430" s="28">
        <f>L430*K430</f>
        <v>0</v>
      </c>
      <c r="P430" s="28">
        <f>K430*M430</f>
        <v>0</v>
      </c>
    </row>
    <row r="431" spans="10:16">
      <c r="J431" s="14" t="e">
        <f t="shared" si="6"/>
        <v>#DIV/0!</v>
      </c>
      <c r="N431" s="14">
        <f>IF(ROUNDUP(IF(K431 &gt; 132, K431 / 40, K431 / 36), 0) &gt;= 7, 6, ROUNDUP(IF(K431 &gt; 132, K431 / 40, K431 / 36), 0))</f>
        <v>0</v>
      </c>
      <c r="O431" s="28">
        <f>L431*K431</f>
        <v>0</v>
      </c>
      <c r="P431" s="28">
        <f>K431*M431</f>
        <v>0</v>
      </c>
    </row>
    <row r="432" spans="10:16">
      <c r="J432" s="14" t="e">
        <f t="shared" si="6"/>
        <v>#DIV/0!</v>
      </c>
      <c r="N432" s="14">
        <f>IF(ROUNDUP(IF(K432 &gt; 132, K432 / 40, K432 / 36), 0) &gt;= 7, 6, ROUNDUP(IF(K432 &gt; 132, K432 / 40, K432 / 36), 0))</f>
        <v>0</v>
      </c>
      <c r="O432" s="28">
        <f>L432*K432</f>
        <v>0</v>
      </c>
      <c r="P432" s="28">
        <f>K432*M432</f>
        <v>0</v>
      </c>
    </row>
    <row r="433" spans="10:16">
      <c r="J433" s="14" t="e">
        <f t="shared" si="6"/>
        <v>#DIV/0!</v>
      </c>
      <c r="N433" s="14">
        <f>IF(ROUNDUP(IF(K433 &gt; 132, K433 / 40, K433 / 36), 0) &gt;= 7, 6, ROUNDUP(IF(K433 &gt; 132, K433 / 40, K433 / 36), 0))</f>
        <v>0</v>
      </c>
      <c r="O433" s="28">
        <f>L433*K433</f>
        <v>0</v>
      </c>
      <c r="P433" s="28">
        <f>K433*M433</f>
        <v>0</v>
      </c>
    </row>
    <row r="434" spans="10:16">
      <c r="J434" s="14" t="e">
        <f t="shared" si="6"/>
        <v>#DIV/0!</v>
      </c>
      <c r="N434" s="14">
        <f>IF(ROUNDUP(IF(K434 &gt; 132, K434 / 40, K434 / 36), 0) &gt;= 7, 6, ROUNDUP(IF(K434 &gt; 132, K434 / 40, K434 / 36), 0))</f>
        <v>0</v>
      </c>
      <c r="O434" s="28">
        <f>L434*K434</f>
        <v>0</v>
      </c>
      <c r="P434" s="28">
        <f>K434*M434</f>
        <v>0</v>
      </c>
    </row>
    <row r="435" spans="10:16">
      <c r="J435" s="14" t="e">
        <f t="shared" si="6"/>
        <v>#DIV/0!</v>
      </c>
      <c r="N435" s="14">
        <f>IF(ROUNDUP(IF(K435 &gt; 132, K435 / 40, K435 / 36), 0) &gt;= 7, 6, ROUNDUP(IF(K435 &gt; 132, K435 / 40, K435 / 36), 0))</f>
        <v>0</v>
      </c>
      <c r="O435" s="28">
        <f>L435*K435</f>
        <v>0</v>
      </c>
      <c r="P435" s="28">
        <f>K435*M435</f>
        <v>0</v>
      </c>
    </row>
    <row r="436" spans="10:16">
      <c r="J436" s="14" t="e">
        <f t="shared" si="6"/>
        <v>#DIV/0!</v>
      </c>
      <c r="N436" s="14">
        <f>IF(ROUNDUP(IF(K436 &gt; 132, K436 / 40, K436 / 36), 0) &gt;= 7, 6, ROUNDUP(IF(K436 &gt; 132, K436 / 40, K436 / 36), 0))</f>
        <v>0</v>
      </c>
      <c r="O436" s="28">
        <f>L436*K436</f>
        <v>0</v>
      </c>
      <c r="P436" s="28">
        <f>K436*M436</f>
        <v>0</v>
      </c>
    </row>
    <row r="437" spans="10:16">
      <c r="J437" s="14" t="e">
        <f t="shared" si="6"/>
        <v>#DIV/0!</v>
      </c>
      <c r="N437" s="14">
        <f>IF(ROUNDUP(IF(K437 &gt; 132, K437 / 40, K437 / 36), 0) &gt;= 7, 6, ROUNDUP(IF(K437 &gt; 132, K437 / 40, K437 / 36), 0))</f>
        <v>0</v>
      </c>
      <c r="O437" s="28">
        <f>L437*K437</f>
        <v>0</v>
      </c>
      <c r="P437" s="28">
        <f>K437*M437</f>
        <v>0</v>
      </c>
    </row>
    <row r="438" spans="10:16">
      <c r="J438" s="14" t="e">
        <f t="shared" si="6"/>
        <v>#DIV/0!</v>
      </c>
      <c r="N438" s="14">
        <f>IF(ROUNDUP(IF(K438 &gt; 132, K438 / 40, K438 / 36), 0) &gt;= 7, 6, ROUNDUP(IF(K438 &gt; 132, K438 / 40, K438 / 36), 0))</f>
        <v>0</v>
      </c>
      <c r="O438" s="28">
        <f>L438*K438</f>
        <v>0</v>
      </c>
      <c r="P438" s="28">
        <f>K438*M438</f>
        <v>0</v>
      </c>
    </row>
    <row r="439" spans="10:16">
      <c r="J439" s="14" t="e">
        <f t="shared" si="6"/>
        <v>#DIV/0!</v>
      </c>
      <c r="N439" s="14">
        <f>IF(ROUNDUP(IF(K439 &gt; 132, K439 / 40, K439 / 36), 0) &gt;= 7, 6, ROUNDUP(IF(K439 &gt; 132, K439 / 40, K439 / 36), 0))</f>
        <v>0</v>
      </c>
      <c r="O439" s="28">
        <f>L439*K439</f>
        <v>0</v>
      </c>
      <c r="P439" s="28">
        <f>K439*M439</f>
        <v>0</v>
      </c>
    </row>
    <row r="440" spans="10:16">
      <c r="J440" s="14" t="e">
        <f t="shared" si="6"/>
        <v>#DIV/0!</v>
      </c>
      <c r="N440" s="14">
        <f>IF(ROUNDUP(IF(K440 &gt; 132, K440 / 40, K440 / 36), 0) &gt;= 7, 6, ROUNDUP(IF(K440 &gt; 132, K440 / 40, K440 / 36), 0))</f>
        <v>0</v>
      </c>
      <c r="O440" s="28">
        <f>L440*K440</f>
        <v>0</v>
      </c>
      <c r="P440" s="28">
        <f>K440*M440</f>
        <v>0</v>
      </c>
    </row>
    <row r="441" spans="10:16">
      <c r="J441" s="14" t="e">
        <f t="shared" si="6"/>
        <v>#DIV/0!</v>
      </c>
      <c r="N441" s="14">
        <f>IF(ROUNDUP(IF(K441 &gt; 132, K441 / 40, K441 / 36), 0) &gt;= 7, 6, ROUNDUP(IF(K441 &gt; 132, K441 / 40, K441 / 36), 0))</f>
        <v>0</v>
      </c>
      <c r="O441" s="28">
        <f>L441*K441</f>
        <v>0</v>
      </c>
      <c r="P441" s="28">
        <f>K441*M441</f>
        <v>0</v>
      </c>
    </row>
    <row r="442" spans="10:16">
      <c r="J442" s="14" t="e">
        <f t="shared" si="6"/>
        <v>#DIV/0!</v>
      </c>
      <c r="N442" s="14">
        <f>IF(ROUNDUP(IF(K442 &gt; 132, K442 / 40, K442 / 36), 0) &gt;= 7, 6, ROUNDUP(IF(K442 &gt; 132, K442 / 40, K442 / 36), 0))</f>
        <v>0</v>
      </c>
      <c r="O442" s="28">
        <f>L442*K442</f>
        <v>0</v>
      </c>
      <c r="P442" s="28">
        <f>K442*M442</f>
        <v>0</v>
      </c>
    </row>
    <row r="443" spans="10:16">
      <c r="J443" s="14" t="e">
        <f t="shared" si="6"/>
        <v>#DIV/0!</v>
      </c>
      <c r="N443" s="14">
        <f>IF(ROUNDUP(IF(K443 &gt; 132, K443 / 40, K443 / 36), 0) &gt;= 7, 6, ROUNDUP(IF(K443 &gt; 132, K443 / 40, K443 / 36), 0))</f>
        <v>0</v>
      </c>
      <c r="O443" s="28">
        <f>L443*K443</f>
        <v>0</v>
      </c>
      <c r="P443" s="28">
        <f>K443*M443</f>
        <v>0</v>
      </c>
    </row>
    <row r="444" spans="10:16">
      <c r="J444" s="14" t="e">
        <f t="shared" si="6"/>
        <v>#DIV/0!</v>
      </c>
      <c r="N444" s="14">
        <f>IF(ROUNDUP(IF(K444 &gt; 132, K444 / 40, K444 / 36), 0) &gt;= 7, 6, ROUNDUP(IF(K444 &gt; 132, K444 / 40, K444 / 36), 0))</f>
        <v>0</v>
      </c>
      <c r="O444" s="28">
        <f>L444*K444</f>
        <v>0</v>
      </c>
      <c r="P444" s="28">
        <f>K444*M444</f>
        <v>0</v>
      </c>
    </row>
    <row r="445" spans="10:16">
      <c r="J445" s="14" t="e">
        <f t="shared" si="6"/>
        <v>#DIV/0!</v>
      </c>
      <c r="N445" s="14">
        <f>IF(ROUNDUP(IF(K445 &gt; 132, K445 / 40, K445 / 36), 0) &gt;= 7, 6, ROUNDUP(IF(K445 &gt; 132, K445 / 40, K445 / 36), 0))</f>
        <v>0</v>
      </c>
      <c r="O445" s="28">
        <f>L445*K445</f>
        <v>0</v>
      </c>
      <c r="P445" s="28">
        <f>K445*M445</f>
        <v>0</v>
      </c>
    </row>
    <row r="446" spans="10:16">
      <c r="J446" s="14" t="e">
        <f t="shared" si="6"/>
        <v>#DIV/0!</v>
      </c>
      <c r="N446" s="14">
        <f>IF(ROUNDUP(IF(K446 &gt; 132, K446 / 40, K446 / 36), 0) &gt;= 7, 6, ROUNDUP(IF(K446 &gt; 132, K446 / 40, K446 / 36), 0))</f>
        <v>0</v>
      </c>
      <c r="O446" s="28">
        <f>L446*K446</f>
        <v>0</v>
      </c>
      <c r="P446" s="28">
        <f>K446*M446</f>
        <v>0</v>
      </c>
    </row>
    <row r="447" spans="10:16">
      <c r="J447" s="14" t="e">
        <f t="shared" si="6"/>
        <v>#DIV/0!</v>
      </c>
      <c r="N447" s="14">
        <f>IF(ROUNDUP(IF(K447 &gt; 132, K447 / 40, K447 / 36), 0) &gt;= 7, 6, ROUNDUP(IF(K447 &gt; 132, K447 / 40, K447 / 36), 0))</f>
        <v>0</v>
      </c>
      <c r="O447" s="28">
        <f>L447*K447</f>
        <v>0</v>
      </c>
      <c r="P447" s="28">
        <f>K447*M447</f>
        <v>0</v>
      </c>
    </row>
    <row r="448" spans="10:16">
      <c r="J448" s="14" t="e">
        <f t="shared" si="6"/>
        <v>#DIV/0!</v>
      </c>
      <c r="N448" s="14">
        <f>IF(ROUNDUP(IF(K448 &gt; 132, K448 / 40, K448 / 36), 0) &gt;= 7, 6, ROUNDUP(IF(K448 &gt; 132, K448 / 40, K448 / 36), 0))</f>
        <v>0</v>
      </c>
      <c r="O448" s="28">
        <f>L448*K448</f>
        <v>0</v>
      </c>
      <c r="P448" s="28">
        <f>K448*M448</f>
        <v>0</v>
      </c>
    </row>
    <row r="449" spans="10:16">
      <c r="J449" s="14" t="e">
        <f t="shared" si="6"/>
        <v>#DIV/0!</v>
      </c>
      <c r="N449" s="14">
        <f>IF(ROUNDUP(IF(K449 &gt; 132, K449 / 40, K449 / 36), 0) &gt;= 7, 6, ROUNDUP(IF(K449 &gt; 132, K449 / 40, K449 / 36), 0))</f>
        <v>0</v>
      </c>
      <c r="O449" s="28">
        <f>L449*K449</f>
        <v>0</v>
      </c>
      <c r="P449" s="28">
        <f>K449*M449</f>
        <v>0</v>
      </c>
    </row>
    <row r="450" spans="10:16">
      <c r="J450" s="14" t="e">
        <f t="shared" ref="J450:J494" si="7">AVERAGE(E450:I450)</f>
        <v>#DIV/0!</v>
      </c>
      <c r="N450" s="14">
        <f>IF(ROUNDUP(IF(K450 &gt; 132, K450 / 40, K450 / 36), 0) &gt;= 7, 6, ROUNDUP(IF(K450 &gt; 132, K450 / 40, K450 / 36), 0))</f>
        <v>0</v>
      </c>
      <c r="O450" s="28">
        <f>L450*K450</f>
        <v>0</v>
      </c>
      <c r="P450" s="28">
        <f>K450*M450</f>
        <v>0</v>
      </c>
    </row>
    <row r="451" spans="10:16">
      <c r="J451" s="14" t="e">
        <f t="shared" si="7"/>
        <v>#DIV/0!</v>
      </c>
      <c r="N451" s="14">
        <f>IF(ROUNDUP(IF(K451 &gt; 132, K451 / 40, K451 / 36), 0) &gt;= 7, 6, ROUNDUP(IF(K451 &gt; 132, K451 / 40, K451 / 36), 0))</f>
        <v>0</v>
      </c>
      <c r="O451" s="28">
        <f>L451*K451</f>
        <v>0</v>
      </c>
      <c r="P451" s="28">
        <f>K451*M451</f>
        <v>0</v>
      </c>
    </row>
    <row r="452" spans="10:16">
      <c r="J452" s="14" t="e">
        <f t="shared" si="7"/>
        <v>#DIV/0!</v>
      </c>
      <c r="N452" s="14">
        <f>IF(ROUNDUP(IF(K452 &gt; 132, K452 / 40, K452 / 36), 0) &gt;= 7, 6, ROUNDUP(IF(K452 &gt; 132, K452 / 40, K452 / 36), 0))</f>
        <v>0</v>
      </c>
      <c r="O452" s="28">
        <f>L452*K452</f>
        <v>0</v>
      </c>
      <c r="P452" s="28">
        <f>K452*M452</f>
        <v>0</v>
      </c>
    </row>
    <row r="453" spans="10:16">
      <c r="J453" s="14" t="e">
        <f t="shared" si="7"/>
        <v>#DIV/0!</v>
      </c>
      <c r="N453" s="14">
        <f>IF(ROUNDUP(IF(K453 &gt; 132, K453 / 40, K453 / 36), 0) &gt;= 7, 6, ROUNDUP(IF(K453 &gt; 132, K453 / 40, K453 / 36), 0))</f>
        <v>0</v>
      </c>
      <c r="O453" s="28">
        <f>L453*K453</f>
        <v>0</v>
      </c>
      <c r="P453" s="28">
        <f>K453*M453</f>
        <v>0</v>
      </c>
    </row>
    <row r="454" spans="10:16">
      <c r="J454" s="14" t="e">
        <f t="shared" si="7"/>
        <v>#DIV/0!</v>
      </c>
      <c r="N454" s="14">
        <f>IF(ROUNDUP(IF(K454 &gt; 132, K454 / 40, K454 / 36), 0) &gt;= 7, 6, ROUNDUP(IF(K454 &gt; 132, K454 / 40, K454 / 36), 0))</f>
        <v>0</v>
      </c>
      <c r="O454" s="28">
        <f>L454*K454</f>
        <v>0</v>
      </c>
      <c r="P454" s="28">
        <f>K454*M454</f>
        <v>0</v>
      </c>
    </row>
    <row r="455" spans="10:16">
      <c r="J455" s="14" t="e">
        <f t="shared" si="7"/>
        <v>#DIV/0!</v>
      </c>
      <c r="N455" s="14">
        <f>IF(ROUNDUP(IF(K455 &gt; 132, K455 / 40, K455 / 36), 0) &gt;= 7, 6, ROUNDUP(IF(K455 &gt; 132, K455 / 40, K455 / 36), 0))</f>
        <v>0</v>
      </c>
      <c r="O455" s="28">
        <f>L455*K455</f>
        <v>0</v>
      </c>
      <c r="P455" s="28">
        <f>K455*M455</f>
        <v>0</v>
      </c>
    </row>
    <row r="456" spans="10:16">
      <c r="J456" s="14" t="e">
        <f t="shared" si="7"/>
        <v>#DIV/0!</v>
      </c>
      <c r="N456" s="14">
        <f>IF(ROUNDUP(IF(K456 &gt; 132, K456 / 40, K456 / 36), 0) &gt;= 7, 6, ROUNDUP(IF(K456 &gt; 132, K456 / 40, K456 / 36), 0))</f>
        <v>0</v>
      </c>
      <c r="O456" s="28">
        <f>L456*K456</f>
        <v>0</v>
      </c>
      <c r="P456" s="28">
        <f>K456*M456</f>
        <v>0</v>
      </c>
    </row>
    <row r="457" spans="10:16">
      <c r="J457" s="14" t="e">
        <f t="shared" si="7"/>
        <v>#DIV/0!</v>
      </c>
      <c r="N457" s="14">
        <f>IF(ROUNDUP(IF(K457 &gt; 132, K457 / 40, K457 / 36), 0) &gt;= 7, 6, ROUNDUP(IF(K457 &gt; 132, K457 / 40, K457 / 36), 0))</f>
        <v>0</v>
      </c>
      <c r="O457" s="28">
        <f>L457*K457</f>
        <v>0</v>
      </c>
      <c r="P457" s="28">
        <f>K457*M457</f>
        <v>0</v>
      </c>
    </row>
    <row r="458" spans="10:16">
      <c r="J458" s="14" t="e">
        <f t="shared" si="7"/>
        <v>#DIV/0!</v>
      </c>
      <c r="N458" s="14">
        <f>IF(ROUNDUP(IF(K458 &gt; 132, K458 / 40, K458 / 36), 0) &gt;= 7, 6, ROUNDUP(IF(K458 &gt; 132, K458 / 40, K458 / 36), 0))</f>
        <v>0</v>
      </c>
      <c r="O458" s="28">
        <f>L458*K458</f>
        <v>0</v>
      </c>
      <c r="P458" s="28">
        <f>K458*M458</f>
        <v>0</v>
      </c>
    </row>
    <row r="459" spans="10:16">
      <c r="J459" s="14" t="e">
        <f t="shared" si="7"/>
        <v>#DIV/0!</v>
      </c>
      <c r="N459" s="14">
        <f>IF(ROUNDUP(IF(K459 &gt; 132, K459 / 40, K459 / 36), 0) &gt;= 7, 6, ROUNDUP(IF(K459 &gt; 132, K459 / 40, K459 / 36), 0))</f>
        <v>0</v>
      </c>
      <c r="O459" s="28">
        <f>L459*K459</f>
        <v>0</v>
      </c>
      <c r="P459" s="28">
        <f>K459*M459</f>
        <v>0</v>
      </c>
    </row>
    <row r="460" spans="10:16">
      <c r="J460" s="14" t="e">
        <f t="shared" si="7"/>
        <v>#DIV/0!</v>
      </c>
      <c r="N460" s="14">
        <f>IF(ROUNDUP(IF(K460 &gt; 132, K460 / 40, K460 / 36), 0) &gt;= 7, 6, ROUNDUP(IF(K460 &gt; 132, K460 / 40, K460 / 36), 0))</f>
        <v>0</v>
      </c>
      <c r="O460" s="28">
        <f>L460*K460</f>
        <v>0</v>
      </c>
      <c r="P460" s="28">
        <f>K460*M460</f>
        <v>0</v>
      </c>
    </row>
    <row r="461" spans="10:16">
      <c r="J461" s="14" t="e">
        <f t="shared" si="7"/>
        <v>#DIV/0!</v>
      </c>
      <c r="N461" s="14">
        <f>IF(ROUNDUP(IF(K461 &gt; 132, K461 / 40, K461 / 36), 0) &gt;= 7, 6, ROUNDUP(IF(K461 &gt; 132, K461 / 40, K461 / 36), 0))</f>
        <v>0</v>
      </c>
      <c r="O461" s="28">
        <f>L461*K461</f>
        <v>0</v>
      </c>
      <c r="P461" s="28">
        <f>K461*M461</f>
        <v>0</v>
      </c>
    </row>
    <row r="462" spans="10:16">
      <c r="J462" s="14" t="e">
        <f t="shared" si="7"/>
        <v>#DIV/0!</v>
      </c>
      <c r="N462" s="14">
        <f>IF(ROUNDUP(IF(K462 &gt; 132, K462 / 40, K462 / 36), 0) &gt;= 7, 6, ROUNDUP(IF(K462 &gt; 132, K462 / 40, K462 / 36), 0))</f>
        <v>0</v>
      </c>
      <c r="O462" s="28">
        <f>L462*K462</f>
        <v>0</v>
      </c>
      <c r="P462" s="28">
        <f>K462*M462</f>
        <v>0</v>
      </c>
    </row>
    <row r="463" spans="10:16">
      <c r="J463" s="14" t="e">
        <f t="shared" si="7"/>
        <v>#DIV/0!</v>
      </c>
      <c r="N463" s="14">
        <f>IF(ROUNDUP(IF(K463 &gt; 132, K463 / 40, K463 / 36), 0) &gt;= 7, 6, ROUNDUP(IF(K463 &gt; 132, K463 / 40, K463 / 36), 0))</f>
        <v>0</v>
      </c>
      <c r="O463" s="28">
        <f>L463*K463</f>
        <v>0</v>
      </c>
      <c r="P463" s="28">
        <f>K463*M463</f>
        <v>0</v>
      </c>
    </row>
    <row r="464" spans="10:16">
      <c r="J464" s="14" t="e">
        <f t="shared" si="7"/>
        <v>#DIV/0!</v>
      </c>
      <c r="N464" s="14">
        <f>IF(ROUNDUP(IF(K464 &gt; 132, K464 / 40, K464 / 36), 0) &gt;= 7, 6, ROUNDUP(IF(K464 &gt; 132, K464 / 40, K464 / 36), 0))</f>
        <v>0</v>
      </c>
      <c r="O464" s="28">
        <f>L464*K464</f>
        <v>0</v>
      </c>
      <c r="P464" s="28">
        <f>K464*M464</f>
        <v>0</v>
      </c>
    </row>
    <row r="465" spans="10:16">
      <c r="J465" s="14" t="e">
        <f t="shared" si="7"/>
        <v>#DIV/0!</v>
      </c>
      <c r="N465" s="14">
        <f>IF(ROUNDUP(IF(K465 &gt; 132, K465 / 40, K465 / 36), 0) &gt;= 7, 6, ROUNDUP(IF(K465 &gt; 132, K465 / 40, K465 / 36), 0))</f>
        <v>0</v>
      </c>
      <c r="O465" s="28">
        <f>L465*K465</f>
        <v>0</v>
      </c>
      <c r="P465" s="28">
        <f>K465*M465</f>
        <v>0</v>
      </c>
    </row>
    <row r="466" spans="10:16">
      <c r="J466" s="14" t="e">
        <f t="shared" si="7"/>
        <v>#DIV/0!</v>
      </c>
      <c r="N466" s="14">
        <f>IF(ROUNDUP(IF(K466 &gt; 132, K466 / 40, K466 / 36), 0) &gt;= 7, 6, ROUNDUP(IF(K466 &gt; 132, K466 / 40, K466 / 36), 0))</f>
        <v>0</v>
      </c>
      <c r="O466" s="28">
        <f>L466*K466</f>
        <v>0</v>
      </c>
      <c r="P466" s="28">
        <f>K466*M466</f>
        <v>0</v>
      </c>
    </row>
    <row r="467" spans="10:16">
      <c r="J467" s="14" t="e">
        <f t="shared" si="7"/>
        <v>#DIV/0!</v>
      </c>
      <c r="N467" s="14">
        <f>IF(ROUNDUP(IF(K467 &gt; 132, K467 / 40, K467 / 36), 0) &gt;= 7, 6, ROUNDUP(IF(K467 &gt; 132, K467 / 40, K467 / 36), 0))</f>
        <v>0</v>
      </c>
      <c r="O467" s="28">
        <f>L467*K467</f>
        <v>0</v>
      </c>
      <c r="P467" s="28">
        <f>K467*M467</f>
        <v>0</v>
      </c>
    </row>
    <row r="468" spans="10:16">
      <c r="J468" s="14" t="e">
        <f t="shared" si="7"/>
        <v>#DIV/0!</v>
      </c>
      <c r="N468" s="14">
        <f>IF(ROUNDUP(IF(K468 &gt; 132, K468 / 40, K468 / 36), 0) &gt;= 7, 6, ROUNDUP(IF(K468 &gt; 132, K468 / 40, K468 / 36), 0))</f>
        <v>0</v>
      </c>
      <c r="O468" s="28">
        <f>L468*K468</f>
        <v>0</v>
      </c>
      <c r="P468" s="28">
        <f>K468*M468</f>
        <v>0</v>
      </c>
    </row>
    <row r="469" spans="10:16">
      <c r="J469" s="14" t="e">
        <f t="shared" si="7"/>
        <v>#DIV/0!</v>
      </c>
      <c r="N469" s="14">
        <f>IF(ROUNDUP(IF(K469 &gt; 132, K469 / 40, K469 / 36), 0) &gt;= 7, 6, ROUNDUP(IF(K469 &gt; 132, K469 / 40, K469 / 36), 0))</f>
        <v>0</v>
      </c>
      <c r="O469" s="28">
        <f>L469*K469</f>
        <v>0</v>
      </c>
      <c r="P469" s="28">
        <f>K469*M469</f>
        <v>0</v>
      </c>
    </row>
    <row r="470" spans="10:16">
      <c r="J470" s="14" t="e">
        <f t="shared" si="7"/>
        <v>#DIV/0!</v>
      </c>
      <c r="N470" s="14">
        <f>IF(ROUNDUP(IF(K470 &gt; 132, K470 / 40, K470 / 36), 0) &gt;= 7, 6, ROUNDUP(IF(K470 &gt; 132, K470 / 40, K470 / 36), 0))</f>
        <v>0</v>
      </c>
      <c r="O470" s="28">
        <f>L470*K470</f>
        <v>0</v>
      </c>
      <c r="P470" s="28">
        <f>K470*M470</f>
        <v>0</v>
      </c>
    </row>
    <row r="471" spans="10:16">
      <c r="J471" s="14" t="e">
        <f t="shared" si="7"/>
        <v>#DIV/0!</v>
      </c>
      <c r="N471" s="14">
        <f>IF(ROUNDUP(IF(K471 &gt; 132, K471 / 40, K471 / 36), 0) &gt;= 7, 6, ROUNDUP(IF(K471 &gt; 132, K471 / 40, K471 / 36), 0))</f>
        <v>0</v>
      </c>
      <c r="O471" s="28">
        <f>L471*K471</f>
        <v>0</v>
      </c>
      <c r="P471" s="28">
        <f>K471*M471</f>
        <v>0</v>
      </c>
    </row>
    <row r="472" spans="10:16">
      <c r="J472" s="14" t="e">
        <f t="shared" si="7"/>
        <v>#DIV/0!</v>
      </c>
      <c r="N472" s="14">
        <f>IF(ROUNDUP(IF(K472 &gt; 132, K472 / 40, K472 / 36), 0) &gt;= 7, 6, ROUNDUP(IF(K472 &gt; 132, K472 / 40, K472 / 36), 0))</f>
        <v>0</v>
      </c>
      <c r="O472" s="28">
        <f>L472*K472</f>
        <v>0</v>
      </c>
      <c r="P472" s="28">
        <f>K472*M472</f>
        <v>0</v>
      </c>
    </row>
    <row r="473" spans="10:16">
      <c r="J473" s="14" t="e">
        <f t="shared" si="7"/>
        <v>#DIV/0!</v>
      </c>
      <c r="N473" s="14">
        <f>IF(ROUNDUP(IF(K473 &gt; 132, K473 / 40, K473 / 36), 0) &gt;= 7, 6, ROUNDUP(IF(K473 &gt; 132, K473 / 40, K473 / 36), 0))</f>
        <v>0</v>
      </c>
      <c r="O473" s="28">
        <f>L473*K473</f>
        <v>0</v>
      </c>
      <c r="P473" s="28">
        <f>K473*M473</f>
        <v>0</v>
      </c>
    </row>
    <row r="474" spans="10:16">
      <c r="J474" s="14" t="e">
        <f t="shared" si="7"/>
        <v>#DIV/0!</v>
      </c>
      <c r="N474" s="14">
        <f>IF(ROUNDUP(IF(K474 &gt; 132, K474 / 40, K474 / 36), 0) &gt;= 7, 6, ROUNDUP(IF(K474 &gt; 132, K474 / 40, K474 / 36), 0))</f>
        <v>0</v>
      </c>
      <c r="O474" s="28">
        <f>L474*K474</f>
        <v>0</v>
      </c>
      <c r="P474" s="28">
        <f>K474*M474</f>
        <v>0</v>
      </c>
    </row>
    <row r="475" spans="10:16">
      <c r="J475" s="14" t="e">
        <f t="shared" si="7"/>
        <v>#DIV/0!</v>
      </c>
      <c r="N475" s="14">
        <f>IF(ROUNDUP(IF(K475 &gt; 132, K475 / 40, K475 / 36), 0) &gt;= 7, 6, ROUNDUP(IF(K475 &gt; 132, K475 / 40, K475 / 36), 0))</f>
        <v>0</v>
      </c>
      <c r="O475" s="28">
        <f>L475*K475</f>
        <v>0</v>
      </c>
      <c r="P475" s="28">
        <f>K475*M475</f>
        <v>0</v>
      </c>
    </row>
    <row r="476" spans="10:16">
      <c r="J476" s="14" t="e">
        <f t="shared" si="7"/>
        <v>#DIV/0!</v>
      </c>
      <c r="N476" s="14">
        <f>IF(ROUNDUP(IF(K476 &gt; 132, K476 / 40, K476 / 36), 0) &gt;= 7, 6, ROUNDUP(IF(K476 &gt; 132, K476 / 40, K476 / 36), 0))</f>
        <v>0</v>
      </c>
      <c r="O476" s="28">
        <f>L476*K476</f>
        <v>0</v>
      </c>
      <c r="P476" s="28">
        <f>K476*M476</f>
        <v>0</v>
      </c>
    </row>
    <row r="477" spans="10:16">
      <c r="J477" s="14" t="e">
        <f t="shared" si="7"/>
        <v>#DIV/0!</v>
      </c>
      <c r="N477" s="14">
        <f>IF(ROUNDUP(IF(K477 &gt; 132, K477 / 40, K477 / 36), 0) &gt;= 7, 6, ROUNDUP(IF(K477 &gt; 132, K477 / 40, K477 / 36), 0))</f>
        <v>0</v>
      </c>
      <c r="O477" s="28">
        <f>L477*K477</f>
        <v>0</v>
      </c>
      <c r="P477" s="28">
        <f>K477*M477</f>
        <v>0</v>
      </c>
    </row>
    <row r="478" spans="10:16">
      <c r="J478" s="14" t="e">
        <f t="shared" si="7"/>
        <v>#DIV/0!</v>
      </c>
      <c r="N478" s="14">
        <f>IF(ROUNDUP(IF(K478 &gt; 132, K478 / 40, K478 / 36), 0) &gt;= 7, 6, ROUNDUP(IF(K478 &gt; 132, K478 / 40, K478 / 36), 0))</f>
        <v>0</v>
      </c>
      <c r="O478" s="28">
        <f>L478*K478</f>
        <v>0</v>
      </c>
      <c r="P478" s="28">
        <f>K478*M478</f>
        <v>0</v>
      </c>
    </row>
    <row r="479" spans="10:16">
      <c r="J479" s="14" t="e">
        <f t="shared" si="7"/>
        <v>#DIV/0!</v>
      </c>
      <c r="N479" s="14">
        <f>IF(ROUNDUP(IF(K479 &gt; 132, K479 / 40, K479 / 36), 0) &gt;= 7, 6, ROUNDUP(IF(K479 &gt; 132, K479 / 40, K479 / 36), 0))</f>
        <v>0</v>
      </c>
      <c r="O479" s="28">
        <f>L479*K479</f>
        <v>0</v>
      </c>
      <c r="P479" s="28">
        <f>K479*M479</f>
        <v>0</v>
      </c>
    </row>
    <row r="480" spans="10:16">
      <c r="J480" s="14" t="e">
        <f t="shared" si="7"/>
        <v>#DIV/0!</v>
      </c>
      <c r="N480" s="14">
        <f>IF(ROUNDUP(IF(K480 &gt; 132, K480 / 40, K480 / 36), 0) &gt;= 7, 6, ROUNDUP(IF(K480 &gt; 132, K480 / 40, K480 / 36), 0))</f>
        <v>0</v>
      </c>
      <c r="O480" s="28">
        <f>L480*K480</f>
        <v>0</v>
      </c>
      <c r="P480" s="28">
        <f>K480*M480</f>
        <v>0</v>
      </c>
    </row>
    <row r="481" spans="10:16">
      <c r="J481" s="14" t="e">
        <f t="shared" si="7"/>
        <v>#DIV/0!</v>
      </c>
      <c r="N481" s="14">
        <f>IF(ROUNDUP(IF(K481 &gt; 132, K481 / 40, K481 / 36), 0) &gt;= 7, 6, ROUNDUP(IF(K481 &gt; 132, K481 / 40, K481 / 36), 0))</f>
        <v>0</v>
      </c>
      <c r="O481" s="28">
        <f>L481*K481</f>
        <v>0</v>
      </c>
      <c r="P481" s="28">
        <f>K481*M481</f>
        <v>0</v>
      </c>
    </row>
    <row r="482" spans="10:16">
      <c r="J482" s="14" t="e">
        <f t="shared" si="7"/>
        <v>#DIV/0!</v>
      </c>
      <c r="N482" s="14">
        <f>IF(ROUNDUP(IF(K482 &gt; 132, K482 / 40, K482 / 36), 0) &gt;= 7, 6, ROUNDUP(IF(K482 &gt; 132, K482 / 40, K482 / 36), 0))</f>
        <v>0</v>
      </c>
      <c r="O482" s="28">
        <f>L482*K482</f>
        <v>0</v>
      </c>
      <c r="P482" s="28">
        <f>K482*M482</f>
        <v>0</v>
      </c>
    </row>
    <row r="483" spans="10:16">
      <c r="J483" s="14" t="e">
        <f t="shared" si="7"/>
        <v>#DIV/0!</v>
      </c>
      <c r="N483" s="14">
        <f>IF(ROUNDUP(IF(K483 &gt; 132, K483 / 40, K483 / 36), 0) &gt;= 7, 6, ROUNDUP(IF(K483 &gt; 132, K483 / 40, K483 / 36), 0))</f>
        <v>0</v>
      </c>
      <c r="O483" s="28">
        <f>L483*K483</f>
        <v>0</v>
      </c>
      <c r="P483" s="28">
        <f>K483*M483</f>
        <v>0</v>
      </c>
    </row>
    <row r="484" spans="10:16">
      <c r="J484" s="14" t="e">
        <f t="shared" si="7"/>
        <v>#DIV/0!</v>
      </c>
      <c r="N484" s="14">
        <f>IF(ROUNDUP(IF(K484 &gt; 132, K484 / 40, K484 / 36), 0) &gt;= 7, 6, ROUNDUP(IF(K484 &gt; 132, K484 / 40, K484 / 36), 0))</f>
        <v>0</v>
      </c>
      <c r="O484" s="28">
        <f>L484*K484</f>
        <v>0</v>
      </c>
      <c r="P484" s="28">
        <f>K484*M484</f>
        <v>0</v>
      </c>
    </row>
    <row r="485" spans="10:16">
      <c r="J485" s="14" t="e">
        <f t="shared" si="7"/>
        <v>#DIV/0!</v>
      </c>
      <c r="N485" s="14">
        <f>IF(ROUNDUP(IF(K485 &gt; 132, K485 / 40, K485 / 36), 0) &gt;= 7, 6, ROUNDUP(IF(K485 &gt; 132, K485 / 40, K485 / 36), 0))</f>
        <v>0</v>
      </c>
      <c r="O485" s="28">
        <f>L485*K485</f>
        <v>0</v>
      </c>
      <c r="P485" s="28">
        <f>K485*M485</f>
        <v>0</v>
      </c>
    </row>
    <row r="486" spans="10:16">
      <c r="J486" s="14" t="e">
        <f t="shared" si="7"/>
        <v>#DIV/0!</v>
      </c>
      <c r="N486" s="14">
        <f>IF(ROUNDUP(IF(K486 &gt; 132, K486 / 40, K486 / 36), 0) &gt;= 7, 6, ROUNDUP(IF(K486 &gt; 132, K486 / 40, K486 / 36), 0))</f>
        <v>0</v>
      </c>
      <c r="O486" s="28">
        <f>L486*K486</f>
        <v>0</v>
      </c>
      <c r="P486" s="28">
        <f>K486*M486</f>
        <v>0</v>
      </c>
    </row>
    <row r="487" spans="10:16">
      <c r="J487" s="14" t="e">
        <f t="shared" si="7"/>
        <v>#DIV/0!</v>
      </c>
      <c r="N487" s="14">
        <f>IF(ROUNDUP(IF(K487 &gt; 132, K487 / 40, K487 / 36), 0) &gt;= 7, 6, ROUNDUP(IF(K487 &gt; 132, K487 / 40, K487 / 36), 0))</f>
        <v>0</v>
      </c>
      <c r="O487" s="28">
        <f>L487*K487</f>
        <v>0</v>
      </c>
      <c r="P487" s="28">
        <f>K487*M487</f>
        <v>0</v>
      </c>
    </row>
    <row r="488" spans="10:16">
      <c r="J488" s="14" t="e">
        <f t="shared" si="7"/>
        <v>#DIV/0!</v>
      </c>
      <c r="N488" s="14">
        <f>IF(ROUNDUP(IF(K488 &gt; 132, K488 / 40, K488 / 36), 0) &gt;= 7, 6, ROUNDUP(IF(K488 &gt; 132, K488 / 40, K488 / 36), 0))</f>
        <v>0</v>
      </c>
      <c r="O488" s="28">
        <f>L488*K488</f>
        <v>0</v>
      </c>
      <c r="P488" s="28">
        <f>K488*M488</f>
        <v>0</v>
      </c>
    </row>
    <row r="489" spans="10:16">
      <c r="J489" s="14" t="e">
        <f t="shared" si="7"/>
        <v>#DIV/0!</v>
      </c>
      <c r="N489" s="14">
        <f>IF(ROUNDUP(IF(K489 &gt; 132, K489 / 40, K489 / 36), 0) &gt;= 7, 6, ROUNDUP(IF(K489 &gt; 132, K489 / 40, K489 / 36), 0))</f>
        <v>0</v>
      </c>
      <c r="O489" s="28">
        <f>L489*K489</f>
        <v>0</v>
      </c>
      <c r="P489" s="28">
        <f>K489*M489</f>
        <v>0</v>
      </c>
    </row>
    <row r="490" spans="10:16">
      <c r="J490" s="14" t="e">
        <f t="shared" si="7"/>
        <v>#DIV/0!</v>
      </c>
      <c r="N490" s="14">
        <f>IF(ROUNDUP(IF(K490 &gt; 132, K490 / 40, K490 / 36), 0) &gt;= 7, 6, ROUNDUP(IF(K490 &gt; 132, K490 / 40, K490 / 36), 0))</f>
        <v>0</v>
      </c>
      <c r="O490" s="28">
        <f>L490*K490</f>
        <v>0</v>
      </c>
      <c r="P490" s="28">
        <f>K490*M490</f>
        <v>0</v>
      </c>
    </row>
    <row r="491" spans="10:16">
      <c r="J491" s="14" t="e">
        <f t="shared" si="7"/>
        <v>#DIV/0!</v>
      </c>
      <c r="N491" s="14">
        <f>IF(ROUNDUP(IF(K491 &gt; 132, K491 / 40, K491 / 36), 0) &gt;= 7, 6, ROUNDUP(IF(K491 &gt; 132, K491 / 40, K491 / 36), 0))</f>
        <v>0</v>
      </c>
      <c r="O491" s="28">
        <f>L491*K491</f>
        <v>0</v>
      </c>
      <c r="P491" s="28">
        <f>K491*M491</f>
        <v>0</v>
      </c>
    </row>
    <row r="492" spans="10:16">
      <c r="J492" s="14" t="e">
        <f t="shared" si="7"/>
        <v>#DIV/0!</v>
      </c>
      <c r="N492" s="14">
        <f>IF(ROUNDUP(IF(K492 &gt; 132, K492 / 40, K492 / 36), 0) &gt;= 7, 6, ROUNDUP(IF(K492 &gt; 132, K492 / 40, K492 / 36), 0))</f>
        <v>0</v>
      </c>
      <c r="O492" s="28">
        <f>L492*K492</f>
        <v>0</v>
      </c>
      <c r="P492" s="28">
        <f>K492*M492</f>
        <v>0</v>
      </c>
    </row>
    <row r="493" spans="10:16">
      <c r="J493" s="14" t="e">
        <f t="shared" si="7"/>
        <v>#DIV/0!</v>
      </c>
      <c r="N493" s="14">
        <f>IF(ROUNDUP(IF(K493 &gt; 132, K493 / 40, K493 / 36), 0) &gt;= 7, 6, ROUNDUP(IF(K493 &gt; 132, K493 / 40, K493 / 36), 0))</f>
        <v>0</v>
      </c>
      <c r="O493" s="28">
        <f>L493*K493</f>
        <v>0</v>
      </c>
      <c r="P493" s="28">
        <f>K493*M493</f>
        <v>0</v>
      </c>
    </row>
    <row r="494" spans="10:16">
      <c r="J494" s="14" t="e">
        <f t="shared" si="7"/>
        <v>#DIV/0!</v>
      </c>
      <c r="N494" s="14">
        <f>IF(ROUNDUP(IF(K494 &gt; 132, K494 / 40, K494 / 36), 0) &gt;= 7, 6, ROUNDUP(IF(K494 &gt; 132, K494 / 40, K494 / 36), 0))</f>
        <v>0</v>
      </c>
      <c r="O494" s="28">
        <f>L494*K494</f>
        <v>0</v>
      </c>
      <c r="P494" s="28">
        <f>K494*M494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289A-6975-47B0-B5FE-13F1E652549B}">
  <dimension ref="A1:K241"/>
  <sheetViews>
    <sheetView workbookViewId="0">
      <pane ySplit="1" topLeftCell="A147" activePane="bottomLeft" state="frozen"/>
      <selection pane="bottomLeft"/>
    </sheetView>
  </sheetViews>
  <sheetFormatPr defaultRowHeight="15"/>
  <cols>
    <col min="2" max="2" width="13.42578125" customWidth="1"/>
    <col min="3" max="3" width="16.28515625" customWidth="1"/>
    <col min="4" max="4" width="16" customWidth="1"/>
    <col min="5" max="5" width="16.7109375" customWidth="1"/>
    <col min="10" max="10" width="15.42578125" customWidth="1"/>
  </cols>
  <sheetData>
    <row r="1" spans="1:11">
      <c r="A1" s="22" t="s">
        <v>436</v>
      </c>
      <c r="B1" s="22" t="s">
        <v>437</v>
      </c>
      <c r="C1" s="22" t="s">
        <v>438</v>
      </c>
      <c r="D1" s="23" t="s">
        <v>439</v>
      </c>
      <c r="E1" s="22" t="s">
        <v>440</v>
      </c>
      <c r="F1" s="22" t="s">
        <v>441</v>
      </c>
      <c r="G1" s="22" t="s">
        <v>442</v>
      </c>
      <c r="H1" s="22" t="s">
        <v>443</v>
      </c>
      <c r="I1" s="22" t="s">
        <v>444</v>
      </c>
      <c r="J1" s="22" t="s">
        <v>445</v>
      </c>
      <c r="K1" s="22" t="s">
        <v>446</v>
      </c>
    </row>
    <row r="2" spans="1:11">
      <c r="A2" s="24">
        <v>94</v>
      </c>
      <c r="B2" s="24">
        <v>4</v>
      </c>
      <c r="C2" s="24">
        <v>1</v>
      </c>
      <c r="D2" s="24">
        <v>1</v>
      </c>
      <c r="E2" s="24">
        <v>1</v>
      </c>
      <c r="F2" s="24">
        <v>1</v>
      </c>
      <c r="G2" s="24">
        <v>0</v>
      </c>
      <c r="H2" s="24">
        <v>0</v>
      </c>
      <c r="I2" s="24">
        <v>1</v>
      </c>
      <c r="J2" s="24">
        <v>3</v>
      </c>
      <c r="K2" s="24" t="s">
        <v>447</v>
      </c>
    </row>
    <row r="3" spans="1:11">
      <c r="A3" s="24">
        <v>87</v>
      </c>
      <c r="B3" s="24">
        <v>5</v>
      </c>
      <c r="C3" s="24">
        <v>1</v>
      </c>
      <c r="D3" s="24">
        <v>1</v>
      </c>
      <c r="E3" s="24">
        <v>2</v>
      </c>
      <c r="F3" s="24">
        <v>1</v>
      </c>
      <c r="G3" s="24">
        <v>0</v>
      </c>
      <c r="H3" s="24">
        <v>0</v>
      </c>
      <c r="I3" s="24">
        <v>1</v>
      </c>
      <c r="J3" s="24">
        <v>3</v>
      </c>
      <c r="K3" s="24" t="s">
        <v>447</v>
      </c>
    </row>
    <row r="4" spans="1:11">
      <c r="A4" s="24">
        <v>80</v>
      </c>
      <c r="B4" s="24">
        <v>4</v>
      </c>
      <c r="C4" s="24">
        <v>1</v>
      </c>
      <c r="D4" s="24">
        <v>1</v>
      </c>
      <c r="E4" s="24">
        <v>1</v>
      </c>
      <c r="F4" s="24">
        <v>1</v>
      </c>
      <c r="G4" s="24">
        <v>0</v>
      </c>
      <c r="H4" s="24">
        <v>0</v>
      </c>
      <c r="I4" s="24">
        <v>1</v>
      </c>
      <c r="J4" s="24">
        <v>3</v>
      </c>
      <c r="K4" s="24" t="s">
        <v>447</v>
      </c>
    </row>
    <row r="5" spans="1:11">
      <c r="A5" s="24">
        <v>79</v>
      </c>
      <c r="B5" s="24">
        <v>5</v>
      </c>
      <c r="C5" s="24">
        <v>2</v>
      </c>
      <c r="D5" s="24">
        <v>2</v>
      </c>
      <c r="E5" s="24">
        <v>2</v>
      </c>
      <c r="F5" s="24">
        <v>1</v>
      </c>
      <c r="G5" s="24">
        <v>0</v>
      </c>
      <c r="H5" s="24">
        <v>0</v>
      </c>
      <c r="I5" s="24">
        <v>1</v>
      </c>
      <c r="J5" s="24">
        <v>3</v>
      </c>
      <c r="K5" s="24" t="s">
        <v>447</v>
      </c>
    </row>
    <row r="6" spans="1:11">
      <c r="A6" s="24">
        <v>77</v>
      </c>
      <c r="B6" s="24">
        <v>4</v>
      </c>
      <c r="C6" s="24">
        <v>1</v>
      </c>
      <c r="D6" s="24">
        <v>2</v>
      </c>
      <c r="E6" s="24">
        <v>1</v>
      </c>
      <c r="F6" s="24">
        <v>1</v>
      </c>
      <c r="G6" s="24">
        <v>0</v>
      </c>
      <c r="H6" s="24">
        <v>0</v>
      </c>
      <c r="I6" s="24">
        <v>1</v>
      </c>
      <c r="J6" s="24">
        <v>3</v>
      </c>
      <c r="K6" s="24" t="s">
        <v>447</v>
      </c>
    </row>
    <row r="7" spans="1:11">
      <c r="A7" s="24">
        <v>80</v>
      </c>
      <c r="B7" s="24">
        <v>4</v>
      </c>
      <c r="C7" s="24">
        <v>2</v>
      </c>
      <c r="D7" s="24">
        <v>3</v>
      </c>
      <c r="E7" s="24">
        <v>1</v>
      </c>
      <c r="F7" s="24">
        <v>1</v>
      </c>
      <c r="G7" s="24">
        <v>0</v>
      </c>
      <c r="H7" s="24">
        <v>0</v>
      </c>
      <c r="I7" s="24">
        <v>1</v>
      </c>
      <c r="J7" s="24">
        <v>3</v>
      </c>
      <c r="K7" s="24" t="s">
        <v>447</v>
      </c>
    </row>
    <row r="8" spans="1:11">
      <c r="A8" s="24">
        <v>90</v>
      </c>
      <c r="B8" s="24">
        <v>5</v>
      </c>
      <c r="C8" s="24">
        <v>1</v>
      </c>
      <c r="D8" s="24">
        <v>3</v>
      </c>
      <c r="E8" s="24">
        <v>1</v>
      </c>
      <c r="F8" s="24">
        <v>1</v>
      </c>
      <c r="G8" s="24">
        <v>0</v>
      </c>
      <c r="H8" s="24">
        <v>0</v>
      </c>
      <c r="I8" s="24">
        <v>1</v>
      </c>
      <c r="J8" s="24">
        <v>3</v>
      </c>
      <c r="K8" s="24" t="s">
        <v>447</v>
      </c>
    </row>
    <row r="9" spans="1:11">
      <c r="A9" s="24">
        <v>95</v>
      </c>
      <c r="B9" s="24">
        <v>4</v>
      </c>
      <c r="C9" s="24">
        <v>1</v>
      </c>
      <c r="D9" s="24">
        <v>3</v>
      </c>
      <c r="E9" s="24">
        <v>2</v>
      </c>
      <c r="F9" s="24">
        <v>1</v>
      </c>
      <c r="G9" s="24">
        <v>0</v>
      </c>
      <c r="H9" s="24">
        <v>0</v>
      </c>
      <c r="I9" s="24">
        <v>1</v>
      </c>
      <c r="J9" s="24">
        <v>3</v>
      </c>
      <c r="K9" s="24" t="s">
        <v>447</v>
      </c>
    </row>
    <row r="10" spans="1:11">
      <c r="A10" s="24">
        <v>82</v>
      </c>
      <c r="B10" s="24">
        <v>5</v>
      </c>
      <c r="C10" s="24">
        <v>2</v>
      </c>
      <c r="D10" s="24">
        <v>3</v>
      </c>
      <c r="E10" s="24">
        <v>1</v>
      </c>
      <c r="F10" s="24">
        <v>1</v>
      </c>
      <c r="G10" s="24">
        <v>0</v>
      </c>
      <c r="H10" s="24">
        <v>0</v>
      </c>
      <c r="I10" s="24">
        <v>1</v>
      </c>
      <c r="J10" s="24">
        <v>3</v>
      </c>
      <c r="K10" s="24" t="s">
        <v>447</v>
      </c>
    </row>
    <row r="11" spans="1:11">
      <c r="A11" s="24">
        <v>91</v>
      </c>
      <c r="B11" s="24">
        <v>4</v>
      </c>
      <c r="C11" s="24">
        <v>2</v>
      </c>
      <c r="D11" s="24">
        <v>3</v>
      </c>
      <c r="E11" s="24">
        <v>1</v>
      </c>
      <c r="F11" s="24">
        <v>1</v>
      </c>
      <c r="G11" s="24">
        <v>0</v>
      </c>
      <c r="H11" s="24">
        <v>0</v>
      </c>
      <c r="I11" s="24">
        <v>1</v>
      </c>
      <c r="J11" s="24">
        <v>3</v>
      </c>
      <c r="K11" s="24" t="s">
        <v>447</v>
      </c>
    </row>
    <row r="12" spans="1:11">
      <c r="A12" s="24">
        <v>87</v>
      </c>
      <c r="B12" s="24">
        <v>5</v>
      </c>
      <c r="C12" s="24">
        <v>2</v>
      </c>
      <c r="D12" s="24">
        <v>2</v>
      </c>
      <c r="E12" s="24">
        <v>1</v>
      </c>
      <c r="F12" s="24">
        <v>1</v>
      </c>
      <c r="G12" s="24">
        <v>0</v>
      </c>
      <c r="H12" s="24">
        <v>0</v>
      </c>
      <c r="I12" s="24">
        <v>1</v>
      </c>
      <c r="J12" s="24">
        <v>3</v>
      </c>
      <c r="K12" s="24" t="s">
        <v>447</v>
      </c>
    </row>
    <row r="13" spans="1:11">
      <c r="A13" s="24">
        <v>75</v>
      </c>
      <c r="B13" s="24">
        <v>4</v>
      </c>
      <c r="C13" s="24">
        <v>1</v>
      </c>
      <c r="D13" s="24">
        <v>2</v>
      </c>
      <c r="E13" s="24">
        <v>1</v>
      </c>
      <c r="F13" s="24">
        <v>1</v>
      </c>
      <c r="G13" s="24">
        <v>0</v>
      </c>
      <c r="H13" s="24">
        <v>0</v>
      </c>
      <c r="I13" s="24">
        <v>1</v>
      </c>
      <c r="J13" s="24">
        <v>3</v>
      </c>
      <c r="K13" s="24" t="s">
        <v>447</v>
      </c>
    </row>
    <row r="14" spans="1:11">
      <c r="A14" s="24">
        <v>77</v>
      </c>
      <c r="B14" s="24">
        <v>4</v>
      </c>
      <c r="C14" s="24">
        <v>1</v>
      </c>
      <c r="D14" s="24">
        <v>1</v>
      </c>
      <c r="E14" s="24">
        <v>1</v>
      </c>
      <c r="F14" s="24">
        <v>1</v>
      </c>
      <c r="G14" s="24">
        <v>0</v>
      </c>
      <c r="H14" s="24">
        <v>0</v>
      </c>
      <c r="I14" s="24">
        <v>1</v>
      </c>
      <c r="J14" s="24">
        <v>3</v>
      </c>
      <c r="K14" s="24" t="s">
        <v>447</v>
      </c>
    </row>
    <row r="15" spans="1:11">
      <c r="A15" s="24">
        <v>83</v>
      </c>
      <c r="B15" s="24">
        <v>5</v>
      </c>
      <c r="C15" s="24">
        <v>2</v>
      </c>
      <c r="D15" s="24">
        <v>2</v>
      </c>
      <c r="E15" s="24">
        <v>2</v>
      </c>
      <c r="F15" s="24">
        <v>1</v>
      </c>
      <c r="G15" s="24">
        <v>0</v>
      </c>
      <c r="H15" s="24">
        <v>0</v>
      </c>
      <c r="I15" s="24">
        <v>1</v>
      </c>
      <c r="J15" s="24">
        <v>3</v>
      </c>
      <c r="K15" s="24" t="s">
        <v>447</v>
      </c>
    </row>
    <row r="16" spans="1:11">
      <c r="A16" s="24">
        <v>92</v>
      </c>
      <c r="B16" s="24">
        <v>5</v>
      </c>
      <c r="C16" s="24">
        <v>1</v>
      </c>
      <c r="D16" s="24">
        <v>3</v>
      </c>
      <c r="E16" s="24">
        <v>1</v>
      </c>
      <c r="F16" s="24">
        <v>1</v>
      </c>
      <c r="G16" s="24">
        <v>0</v>
      </c>
      <c r="H16" s="24">
        <v>0</v>
      </c>
      <c r="I16" s="24">
        <v>1</v>
      </c>
      <c r="J16" s="24">
        <v>3</v>
      </c>
      <c r="K16" s="24" t="s">
        <v>447</v>
      </c>
    </row>
    <row r="17" spans="1:11">
      <c r="A17" s="24">
        <v>91</v>
      </c>
      <c r="B17" s="24">
        <v>4</v>
      </c>
      <c r="C17" s="24">
        <v>2</v>
      </c>
      <c r="D17" s="24">
        <v>1</v>
      </c>
      <c r="E17" s="24">
        <v>2</v>
      </c>
      <c r="F17" s="24">
        <v>1</v>
      </c>
      <c r="G17" s="24">
        <v>0</v>
      </c>
      <c r="H17" s="24">
        <v>0</v>
      </c>
      <c r="I17" s="24">
        <v>1</v>
      </c>
      <c r="J17" s="24">
        <v>3</v>
      </c>
      <c r="K17" s="24" t="s">
        <v>447</v>
      </c>
    </row>
    <row r="18" spans="1:11">
      <c r="A18" s="24">
        <v>76</v>
      </c>
      <c r="B18" s="24">
        <v>4</v>
      </c>
      <c r="C18" s="24">
        <v>1</v>
      </c>
      <c r="D18" s="24">
        <v>3</v>
      </c>
      <c r="E18" s="24">
        <v>1</v>
      </c>
      <c r="F18" s="24">
        <v>1</v>
      </c>
      <c r="G18" s="24">
        <v>0</v>
      </c>
      <c r="H18" s="24">
        <v>0</v>
      </c>
      <c r="I18" s="24">
        <v>1</v>
      </c>
      <c r="J18" s="24">
        <v>3</v>
      </c>
      <c r="K18" s="24" t="s">
        <v>447</v>
      </c>
    </row>
    <row r="19" spans="1:11">
      <c r="A19" s="24">
        <v>94</v>
      </c>
      <c r="B19" s="24">
        <v>5</v>
      </c>
      <c r="C19" s="24">
        <v>1</v>
      </c>
      <c r="D19" s="24">
        <v>2</v>
      </c>
      <c r="E19" s="24">
        <v>2</v>
      </c>
      <c r="F19" s="24">
        <v>1</v>
      </c>
      <c r="G19" s="24">
        <v>0</v>
      </c>
      <c r="H19" s="24">
        <v>0</v>
      </c>
      <c r="I19" s="24">
        <v>1</v>
      </c>
      <c r="J19" s="24">
        <v>3</v>
      </c>
      <c r="K19" s="24" t="s">
        <v>447</v>
      </c>
    </row>
    <row r="20" spans="1:11">
      <c r="A20" s="24">
        <v>84</v>
      </c>
      <c r="B20" s="24">
        <v>5</v>
      </c>
      <c r="C20" s="24">
        <v>1</v>
      </c>
      <c r="D20" s="24">
        <v>3</v>
      </c>
      <c r="E20" s="24">
        <v>1</v>
      </c>
      <c r="F20" s="24">
        <v>1</v>
      </c>
      <c r="G20" s="24">
        <v>0</v>
      </c>
      <c r="H20" s="24">
        <v>0</v>
      </c>
      <c r="I20" s="24">
        <v>1</v>
      </c>
      <c r="J20" s="24">
        <v>3</v>
      </c>
      <c r="K20" s="24" t="s">
        <v>447</v>
      </c>
    </row>
    <row r="21" spans="1:11">
      <c r="A21" s="24">
        <v>81</v>
      </c>
      <c r="B21" s="24">
        <v>5</v>
      </c>
      <c r="C21" s="24">
        <v>2</v>
      </c>
      <c r="D21" s="24">
        <v>3</v>
      </c>
      <c r="E21" s="24">
        <v>2</v>
      </c>
      <c r="F21" s="24">
        <v>1</v>
      </c>
      <c r="G21" s="24">
        <v>0</v>
      </c>
      <c r="H21" s="24">
        <v>0</v>
      </c>
      <c r="I21" s="24">
        <v>1</v>
      </c>
      <c r="J21" s="24">
        <v>3</v>
      </c>
      <c r="K21" s="24" t="s">
        <v>447</v>
      </c>
    </row>
    <row r="22" spans="1:11">
      <c r="A22" s="24">
        <v>85</v>
      </c>
      <c r="B22" s="24">
        <v>5</v>
      </c>
      <c r="C22" s="24">
        <v>1</v>
      </c>
      <c r="D22" s="24">
        <v>2</v>
      </c>
      <c r="E22" s="24">
        <v>2</v>
      </c>
      <c r="F22" s="24">
        <v>1</v>
      </c>
      <c r="G22" s="24">
        <v>0</v>
      </c>
      <c r="H22" s="24">
        <v>0</v>
      </c>
      <c r="I22" s="24">
        <v>1</v>
      </c>
      <c r="J22" s="24">
        <v>3</v>
      </c>
      <c r="K22" s="24" t="s">
        <v>447</v>
      </c>
    </row>
    <row r="23" spans="1:11">
      <c r="A23" s="24">
        <v>75</v>
      </c>
      <c r="B23" s="24">
        <v>5</v>
      </c>
      <c r="C23" s="24">
        <v>2</v>
      </c>
      <c r="D23" s="24">
        <v>1</v>
      </c>
      <c r="E23" s="24">
        <v>2</v>
      </c>
      <c r="F23" s="24">
        <v>1</v>
      </c>
      <c r="G23" s="24">
        <v>0</v>
      </c>
      <c r="H23" s="24">
        <v>0</v>
      </c>
      <c r="I23" s="24">
        <v>1</v>
      </c>
      <c r="J23" s="24">
        <v>3</v>
      </c>
      <c r="K23" s="24" t="s">
        <v>447</v>
      </c>
    </row>
    <row r="24" spans="1:11">
      <c r="A24" s="24">
        <v>78</v>
      </c>
      <c r="B24" s="24">
        <v>5</v>
      </c>
      <c r="C24" s="24">
        <v>2</v>
      </c>
      <c r="D24" s="24">
        <v>3</v>
      </c>
      <c r="E24" s="24">
        <v>2</v>
      </c>
      <c r="F24" s="24">
        <v>1</v>
      </c>
      <c r="G24" s="24">
        <v>0</v>
      </c>
      <c r="H24" s="24">
        <v>0</v>
      </c>
      <c r="I24" s="24">
        <v>1</v>
      </c>
      <c r="J24" s="24">
        <v>3</v>
      </c>
      <c r="K24" s="24" t="s">
        <v>447</v>
      </c>
    </row>
    <row r="25" spans="1:11">
      <c r="A25" s="24">
        <v>77</v>
      </c>
      <c r="B25" s="24">
        <v>5</v>
      </c>
      <c r="C25" s="24">
        <v>2</v>
      </c>
      <c r="D25" s="24">
        <v>2</v>
      </c>
      <c r="E25" s="24">
        <v>2</v>
      </c>
      <c r="F25" s="24">
        <v>1</v>
      </c>
      <c r="G25" s="24">
        <v>0</v>
      </c>
      <c r="H25" s="24">
        <v>0</v>
      </c>
      <c r="I25" s="24">
        <v>1</v>
      </c>
      <c r="J25" s="24">
        <v>3</v>
      </c>
      <c r="K25" s="24" t="s">
        <v>447</v>
      </c>
    </row>
    <row r="26" spans="1:11">
      <c r="A26" s="24">
        <v>81</v>
      </c>
      <c r="B26" s="24">
        <v>4</v>
      </c>
      <c r="C26" s="24">
        <v>2</v>
      </c>
      <c r="D26" s="24">
        <v>2</v>
      </c>
      <c r="E26" s="24">
        <v>1</v>
      </c>
      <c r="F26" s="24">
        <v>1</v>
      </c>
      <c r="G26" s="24">
        <v>0</v>
      </c>
      <c r="H26" s="24">
        <v>0</v>
      </c>
      <c r="I26" s="24">
        <v>1</v>
      </c>
      <c r="J26" s="24">
        <v>3</v>
      </c>
      <c r="K26" s="24" t="s">
        <v>447</v>
      </c>
    </row>
    <row r="27" spans="1:11">
      <c r="A27" s="24">
        <v>91</v>
      </c>
      <c r="B27" s="24">
        <v>5</v>
      </c>
      <c r="C27" s="24">
        <v>1</v>
      </c>
      <c r="D27" s="24">
        <v>2</v>
      </c>
      <c r="E27" s="24">
        <v>1</v>
      </c>
      <c r="F27" s="24">
        <v>1</v>
      </c>
      <c r="G27" s="24">
        <v>0</v>
      </c>
      <c r="H27" s="24">
        <v>0</v>
      </c>
      <c r="I27" s="24">
        <v>1</v>
      </c>
      <c r="J27" s="24">
        <v>3</v>
      </c>
      <c r="K27" s="24" t="s">
        <v>447</v>
      </c>
    </row>
    <row r="28" spans="1:11">
      <c r="A28" s="24">
        <v>84</v>
      </c>
      <c r="B28" s="24">
        <v>5</v>
      </c>
      <c r="C28" s="24">
        <v>2</v>
      </c>
      <c r="D28" s="24">
        <v>1</v>
      </c>
      <c r="E28" s="24">
        <v>2</v>
      </c>
      <c r="F28" s="24">
        <v>1</v>
      </c>
      <c r="G28" s="24">
        <v>0</v>
      </c>
      <c r="H28" s="24">
        <v>0</v>
      </c>
      <c r="I28" s="24">
        <v>1</v>
      </c>
      <c r="J28" s="24">
        <v>3</v>
      </c>
      <c r="K28" s="24" t="s">
        <v>447</v>
      </c>
    </row>
    <row r="29" spans="1:11">
      <c r="A29" s="24">
        <v>84</v>
      </c>
      <c r="B29" s="24">
        <v>5</v>
      </c>
      <c r="C29" s="24">
        <v>1</v>
      </c>
      <c r="D29" s="24">
        <v>1</v>
      </c>
      <c r="E29" s="24">
        <v>1</v>
      </c>
      <c r="F29" s="24">
        <v>1</v>
      </c>
      <c r="G29" s="24">
        <v>0</v>
      </c>
      <c r="H29" s="24">
        <v>0</v>
      </c>
      <c r="I29" s="24">
        <v>1</v>
      </c>
      <c r="J29" s="24">
        <v>3</v>
      </c>
      <c r="K29" s="24" t="s">
        <v>447</v>
      </c>
    </row>
    <row r="30" spans="1:11">
      <c r="A30" s="24">
        <v>79</v>
      </c>
      <c r="B30" s="24">
        <v>4</v>
      </c>
      <c r="C30" s="24">
        <v>2</v>
      </c>
      <c r="D30" s="24">
        <v>3</v>
      </c>
      <c r="E30" s="24">
        <v>1</v>
      </c>
      <c r="F30" s="24">
        <v>1</v>
      </c>
      <c r="G30" s="24">
        <v>0</v>
      </c>
      <c r="H30" s="24">
        <v>0</v>
      </c>
      <c r="I30" s="24">
        <v>1</v>
      </c>
      <c r="J30" s="24">
        <v>3</v>
      </c>
      <c r="K30" s="24" t="s">
        <v>447</v>
      </c>
    </row>
    <row r="31" spans="1:11">
      <c r="A31" s="24">
        <v>92</v>
      </c>
      <c r="B31" s="24">
        <v>5</v>
      </c>
      <c r="C31" s="24">
        <v>2</v>
      </c>
      <c r="D31" s="24">
        <v>3</v>
      </c>
      <c r="E31" s="24">
        <v>2</v>
      </c>
      <c r="F31" s="24">
        <v>1</v>
      </c>
      <c r="G31" s="24">
        <v>0</v>
      </c>
      <c r="H31" s="24">
        <v>0</v>
      </c>
      <c r="I31" s="24">
        <v>1</v>
      </c>
      <c r="J31" s="24">
        <v>3</v>
      </c>
      <c r="K31" s="24" t="s">
        <v>447</v>
      </c>
    </row>
    <row r="32" spans="1:11">
      <c r="A32" s="24">
        <v>78</v>
      </c>
      <c r="B32" s="24">
        <v>5</v>
      </c>
      <c r="C32" s="24">
        <v>2</v>
      </c>
      <c r="D32" s="24">
        <v>2</v>
      </c>
      <c r="E32" s="24">
        <v>2</v>
      </c>
      <c r="F32" s="24">
        <v>1</v>
      </c>
      <c r="G32" s="24">
        <v>0</v>
      </c>
      <c r="H32" s="24">
        <v>0</v>
      </c>
      <c r="I32" s="24">
        <v>1</v>
      </c>
      <c r="J32" s="24">
        <v>3</v>
      </c>
      <c r="K32" s="24" t="s">
        <v>447</v>
      </c>
    </row>
    <row r="33" spans="1:11">
      <c r="A33" s="24">
        <v>81</v>
      </c>
      <c r="B33" s="24">
        <v>4</v>
      </c>
      <c r="C33" s="24">
        <v>1</v>
      </c>
      <c r="D33" s="24">
        <v>2</v>
      </c>
      <c r="E33" s="24">
        <v>2</v>
      </c>
      <c r="F33" s="24">
        <v>1</v>
      </c>
      <c r="G33" s="24">
        <v>0</v>
      </c>
      <c r="H33" s="24">
        <v>0</v>
      </c>
      <c r="I33" s="24">
        <v>1</v>
      </c>
      <c r="J33" s="24">
        <v>3</v>
      </c>
      <c r="K33" s="24" t="s">
        <v>447</v>
      </c>
    </row>
    <row r="34" spans="1:11">
      <c r="A34" s="24">
        <v>80</v>
      </c>
      <c r="B34" s="24">
        <v>5</v>
      </c>
      <c r="C34" s="24">
        <v>1</v>
      </c>
      <c r="D34" s="24">
        <v>1</v>
      </c>
      <c r="E34" s="24">
        <v>2</v>
      </c>
      <c r="F34" s="24">
        <v>1</v>
      </c>
      <c r="G34" s="24">
        <v>0</v>
      </c>
      <c r="H34" s="24">
        <v>0</v>
      </c>
      <c r="I34" s="24">
        <v>1</v>
      </c>
      <c r="J34" s="24">
        <v>3</v>
      </c>
      <c r="K34" s="24" t="s">
        <v>447</v>
      </c>
    </row>
    <row r="35" spans="1:11">
      <c r="A35" s="24">
        <v>86</v>
      </c>
      <c r="B35" s="24">
        <v>5</v>
      </c>
      <c r="C35" s="24">
        <v>2</v>
      </c>
      <c r="D35" s="24">
        <v>2</v>
      </c>
      <c r="E35" s="24">
        <v>1</v>
      </c>
      <c r="F35" s="24">
        <v>1</v>
      </c>
      <c r="G35" s="24">
        <v>0</v>
      </c>
      <c r="H35" s="24">
        <v>0</v>
      </c>
      <c r="I35" s="24">
        <v>1</v>
      </c>
      <c r="J35" s="24">
        <v>3</v>
      </c>
      <c r="K35" s="24" t="s">
        <v>447</v>
      </c>
    </row>
    <row r="36" spans="1:11">
      <c r="A36" s="24">
        <v>92</v>
      </c>
      <c r="B36" s="24">
        <v>5</v>
      </c>
      <c r="C36" s="24">
        <v>2</v>
      </c>
      <c r="D36" s="24">
        <v>2</v>
      </c>
      <c r="E36" s="24">
        <v>2</v>
      </c>
      <c r="F36" s="24">
        <v>1</v>
      </c>
      <c r="G36" s="24">
        <v>0</v>
      </c>
      <c r="H36" s="24">
        <v>0</v>
      </c>
      <c r="I36" s="24">
        <v>1</v>
      </c>
      <c r="J36" s="24">
        <v>3</v>
      </c>
      <c r="K36" s="24" t="s">
        <v>447</v>
      </c>
    </row>
    <row r="37" spans="1:11">
      <c r="A37" s="24">
        <v>81</v>
      </c>
      <c r="B37" s="24">
        <v>4</v>
      </c>
      <c r="C37" s="24">
        <v>2</v>
      </c>
      <c r="D37" s="24">
        <v>3</v>
      </c>
      <c r="E37" s="24">
        <v>2</v>
      </c>
      <c r="F37" s="24">
        <v>1</v>
      </c>
      <c r="G37" s="24">
        <v>0</v>
      </c>
      <c r="H37" s="24">
        <v>0</v>
      </c>
      <c r="I37" s="24">
        <v>1</v>
      </c>
      <c r="J37" s="24">
        <v>3</v>
      </c>
      <c r="K37" s="24" t="s">
        <v>447</v>
      </c>
    </row>
    <row r="38" spans="1:11">
      <c r="A38" s="24">
        <v>82</v>
      </c>
      <c r="B38" s="24">
        <v>5</v>
      </c>
      <c r="C38" s="24">
        <v>1</v>
      </c>
      <c r="D38" s="24">
        <v>2</v>
      </c>
      <c r="E38" s="24">
        <v>2</v>
      </c>
      <c r="F38" s="24">
        <v>1</v>
      </c>
      <c r="G38" s="24">
        <v>0</v>
      </c>
      <c r="H38" s="24">
        <v>0</v>
      </c>
      <c r="I38" s="24">
        <v>1</v>
      </c>
      <c r="J38" s="24">
        <v>3</v>
      </c>
      <c r="K38" s="24" t="s">
        <v>447</v>
      </c>
    </row>
    <row r="39" spans="1:11">
      <c r="A39" s="24">
        <v>80</v>
      </c>
      <c r="B39" s="24">
        <v>5</v>
      </c>
      <c r="C39" s="24">
        <v>1</v>
      </c>
      <c r="D39" s="24">
        <v>1</v>
      </c>
      <c r="E39" s="24">
        <v>2</v>
      </c>
      <c r="F39" s="24">
        <v>1</v>
      </c>
      <c r="G39" s="24">
        <v>0</v>
      </c>
      <c r="H39" s="24">
        <v>0</v>
      </c>
      <c r="I39" s="24">
        <v>1</v>
      </c>
      <c r="J39" s="24">
        <v>3</v>
      </c>
      <c r="K39" s="24" t="s">
        <v>447</v>
      </c>
    </row>
    <row r="40" spans="1:11">
      <c r="A40" s="24">
        <v>88</v>
      </c>
      <c r="B40" s="24">
        <v>5</v>
      </c>
      <c r="C40" s="24">
        <v>2</v>
      </c>
      <c r="D40" s="24">
        <v>1</v>
      </c>
      <c r="E40" s="24">
        <v>1</v>
      </c>
      <c r="F40" s="24">
        <v>1</v>
      </c>
      <c r="G40" s="24">
        <v>0</v>
      </c>
      <c r="H40" s="24">
        <v>0</v>
      </c>
      <c r="I40" s="24">
        <v>1</v>
      </c>
      <c r="J40" s="24">
        <v>3</v>
      </c>
      <c r="K40" s="24" t="s">
        <v>447</v>
      </c>
    </row>
    <row r="41" spans="1:11">
      <c r="A41" s="24">
        <v>93</v>
      </c>
      <c r="B41" s="24">
        <v>4</v>
      </c>
      <c r="C41" s="24">
        <v>1</v>
      </c>
      <c r="D41" s="24">
        <v>1</v>
      </c>
      <c r="E41" s="24">
        <v>2</v>
      </c>
      <c r="F41" s="24">
        <v>1</v>
      </c>
      <c r="G41" s="24">
        <v>0</v>
      </c>
      <c r="H41" s="24">
        <v>0</v>
      </c>
      <c r="I41" s="24">
        <v>1</v>
      </c>
      <c r="J41" s="24">
        <v>3</v>
      </c>
      <c r="K41" s="24" t="s">
        <v>447</v>
      </c>
    </row>
    <row r="42" spans="1:11">
      <c r="A42" s="24">
        <v>88</v>
      </c>
      <c r="B42" s="24">
        <v>4</v>
      </c>
      <c r="C42" s="24">
        <v>1</v>
      </c>
      <c r="D42" s="24">
        <v>3</v>
      </c>
      <c r="E42" s="24">
        <v>2</v>
      </c>
      <c r="F42" s="24">
        <v>1</v>
      </c>
      <c r="G42" s="24">
        <v>0</v>
      </c>
      <c r="H42" s="24">
        <v>0</v>
      </c>
      <c r="I42" s="24">
        <v>1</v>
      </c>
      <c r="J42" s="24">
        <v>3</v>
      </c>
      <c r="K42" s="24" t="s">
        <v>447</v>
      </c>
    </row>
    <row r="43" spans="1:11">
      <c r="A43" s="24">
        <v>81</v>
      </c>
      <c r="B43" s="24">
        <v>5</v>
      </c>
      <c r="C43" s="24">
        <v>2</v>
      </c>
      <c r="D43" s="24">
        <v>3</v>
      </c>
      <c r="E43" s="24">
        <v>1</v>
      </c>
      <c r="F43" s="24">
        <v>1</v>
      </c>
      <c r="G43" s="24">
        <v>0</v>
      </c>
      <c r="H43" s="24">
        <v>0</v>
      </c>
      <c r="I43" s="24">
        <v>1</v>
      </c>
      <c r="J43" s="24">
        <v>3</v>
      </c>
      <c r="K43" s="24" t="s">
        <v>447</v>
      </c>
    </row>
    <row r="44" spans="1:11">
      <c r="A44" s="24">
        <v>93</v>
      </c>
      <c r="B44" s="24">
        <v>4</v>
      </c>
      <c r="C44" s="24">
        <v>1</v>
      </c>
      <c r="D44" s="24">
        <v>1</v>
      </c>
      <c r="E44" s="24">
        <v>1</v>
      </c>
      <c r="F44" s="24">
        <v>1</v>
      </c>
      <c r="G44" s="24">
        <v>0</v>
      </c>
      <c r="H44" s="24">
        <v>0</v>
      </c>
      <c r="I44" s="24">
        <v>1</v>
      </c>
      <c r="J44" s="24">
        <v>3</v>
      </c>
      <c r="K44" s="24" t="s">
        <v>447</v>
      </c>
    </row>
    <row r="45" spans="1:11">
      <c r="A45" s="24">
        <v>95</v>
      </c>
      <c r="B45" s="24">
        <v>4</v>
      </c>
      <c r="C45" s="24">
        <v>1</v>
      </c>
      <c r="D45" s="24">
        <v>1</v>
      </c>
      <c r="E45" s="24">
        <v>2</v>
      </c>
      <c r="F45" s="24">
        <v>1</v>
      </c>
      <c r="G45" s="24">
        <v>0</v>
      </c>
      <c r="H45" s="24">
        <v>0</v>
      </c>
      <c r="I45" s="24">
        <v>1</v>
      </c>
      <c r="J45" s="24">
        <v>3</v>
      </c>
      <c r="K45" s="24" t="s">
        <v>447</v>
      </c>
    </row>
    <row r="46" spans="1:11">
      <c r="A46" s="24">
        <v>94</v>
      </c>
      <c r="B46" s="24">
        <v>5</v>
      </c>
      <c r="C46" s="24">
        <v>2</v>
      </c>
      <c r="D46" s="24">
        <v>2</v>
      </c>
      <c r="E46" s="24">
        <v>2</v>
      </c>
      <c r="F46" s="24">
        <v>1</v>
      </c>
      <c r="G46" s="24">
        <v>0</v>
      </c>
      <c r="H46" s="24">
        <v>0</v>
      </c>
      <c r="I46" s="24">
        <v>1</v>
      </c>
      <c r="J46" s="24">
        <v>3</v>
      </c>
      <c r="K46" s="24" t="s">
        <v>447</v>
      </c>
    </row>
    <row r="47" spans="1:11">
      <c r="A47" s="24">
        <v>95</v>
      </c>
      <c r="B47" s="24">
        <v>5</v>
      </c>
      <c r="C47" s="24">
        <v>1</v>
      </c>
      <c r="D47" s="24">
        <v>3</v>
      </c>
      <c r="E47" s="24">
        <v>2</v>
      </c>
      <c r="F47" s="24">
        <v>1</v>
      </c>
      <c r="G47" s="24">
        <v>0</v>
      </c>
      <c r="H47" s="24">
        <v>0</v>
      </c>
      <c r="I47" s="24">
        <v>1</v>
      </c>
      <c r="J47" s="24">
        <v>3</v>
      </c>
      <c r="K47" s="24" t="s">
        <v>447</v>
      </c>
    </row>
    <row r="48" spans="1:11">
      <c r="A48" s="24">
        <v>89</v>
      </c>
      <c r="B48" s="24">
        <v>4</v>
      </c>
      <c r="C48" s="24">
        <v>1</v>
      </c>
      <c r="D48" s="24">
        <v>2</v>
      </c>
      <c r="E48" s="24">
        <v>2</v>
      </c>
      <c r="F48" s="24">
        <v>1</v>
      </c>
      <c r="G48" s="24">
        <v>0</v>
      </c>
      <c r="H48" s="24">
        <v>0</v>
      </c>
      <c r="I48" s="24">
        <v>1</v>
      </c>
      <c r="J48" s="24">
        <v>3</v>
      </c>
      <c r="K48" s="24" t="s">
        <v>447</v>
      </c>
    </row>
    <row r="49" spans="1:11">
      <c r="A49" s="24">
        <v>76</v>
      </c>
      <c r="B49" s="24">
        <v>5</v>
      </c>
      <c r="C49" s="24">
        <v>2</v>
      </c>
      <c r="D49" s="24">
        <v>2</v>
      </c>
      <c r="E49" s="24">
        <v>2</v>
      </c>
      <c r="F49" s="24">
        <v>1</v>
      </c>
      <c r="G49" s="24">
        <v>0</v>
      </c>
      <c r="H49" s="24">
        <v>0</v>
      </c>
      <c r="I49" s="24">
        <v>1</v>
      </c>
      <c r="J49" s="24">
        <v>3</v>
      </c>
      <c r="K49" s="24" t="s">
        <v>447</v>
      </c>
    </row>
    <row r="50" spans="1:11">
      <c r="A50" s="24">
        <v>90</v>
      </c>
      <c r="B50" s="24">
        <v>5</v>
      </c>
      <c r="C50" s="24">
        <v>1</v>
      </c>
      <c r="D50" s="24">
        <v>3</v>
      </c>
      <c r="E50" s="24">
        <v>1</v>
      </c>
      <c r="F50" s="24">
        <v>1</v>
      </c>
      <c r="G50" s="24">
        <v>0</v>
      </c>
      <c r="H50" s="24">
        <v>0</v>
      </c>
      <c r="I50" s="24">
        <v>1</v>
      </c>
      <c r="J50" s="24">
        <v>3</v>
      </c>
      <c r="K50" s="24" t="s">
        <v>447</v>
      </c>
    </row>
    <row r="51" spans="1:11">
      <c r="A51" s="24">
        <v>84</v>
      </c>
      <c r="B51" s="24">
        <v>5</v>
      </c>
      <c r="C51" s="24">
        <v>1</v>
      </c>
      <c r="D51" s="24">
        <v>3</v>
      </c>
      <c r="E51" s="24">
        <v>2</v>
      </c>
      <c r="F51" s="24">
        <v>1</v>
      </c>
      <c r="G51" s="24">
        <v>0</v>
      </c>
      <c r="H51" s="24">
        <v>0</v>
      </c>
      <c r="I51" s="24">
        <v>1</v>
      </c>
      <c r="J51" s="24">
        <v>3</v>
      </c>
      <c r="K51" s="24" t="s">
        <v>447</v>
      </c>
    </row>
    <row r="52" spans="1:11">
      <c r="A52" s="24">
        <v>77</v>
      </c>
      <c r="B52" s="24">
        <v>5</v>
      </c>
      <c r="C52" s="24">
        <v>2</v>
      </c>
      <c r="D52" s="24">
        <v>3</v>
      </c>
      <c r="E52" s="24">
        <v>2</v>
      </c>
      <c r="F52" s="24">
        <v>1</v>
      </c>
      <c r="G52" s="24">
        <v>0</v>
      </c>
      <c r="H52" s="24">
        <v>0</v>
      </c>
      <c r="I52" s="24">
        <v>1</v>
      </c>
      <c r="J52" s="24">
        <v>3</v>
      </c>
      <c r="K52" s="24" t="s">
        <v>447</v>
      </c>
    </row>
    <row r="53" spans="1:11">
      <c r="A53" s="24">
        <v>94</v>
      </c>
      <c r="B53" s="24">
        <v>5</v>
      </c>
      <c r="C53" s="24">
        <v>1</v>
      </c>
      <c r="D53" s="24">
        <v>3</v>
      </c>
      <c r="E53" s="24">
        <v>1</v>
      </c>
      <c r="F53" s="24">
        <v>1</v>
      </c>
      <c r="G53" s="24">
        <v>0</v>
      </c>
      <c r="H53" s="24">
        <v>0</v>
      </c>
      <c r="I53" s="24">
        <v>1</v>
      </c>
      <c r="J53" s="24">
        <v>3</v>
      </c>
      <c r="K53" s="24" t="s">
        <v>447</v>
      </c>
    </row>
    <row r="54" spans="1:11">
      <c r="A54" s="24">
        <v>76</v>
      </c>
      <c r="B54" s="24">
        <v>4</v>
      </c>
      <c r="C54" s="24">
        <v>1</v>
      </c>
      <c r="D54" s="24">
        <v>2</v>
      </c>
      <c r="E54" s="24">
        <v>1</v>
      </c>
      <c r="F54" s="24">
        <v>1</v>
      </c>
      <c r="G54" s="24">
        <v>0</v>
      </c>
      <c r="H54" s="24">
        <v>0</v>
      </c>
      <c r="I54" s="24">
        <v>1</v>
      </c>
      <c r="J54" s="24">
        <v>3</v>
      </c>
      <c r="K54" s="24" t="s">
        <v>447</v>
      </c>
    </row>
    <row r="55" spans="1:11">
      <c r="A55" s="24">
        <v>84</v>
      </c>
      <c r="B55" s="24">
        <v>5</v>
      </c>
      <c r="C55" s="24">
        <v>2</v>
      </c>
      <c r="D55" s="24">
        <v>1</v>
      </c>
      <c r="E55" s="24">
        <v>1</v>
      </c>
      <c r="F55" s="24">
        <v>1</v>
      </c>
      <c r="G55" s="24">
        <v>0</v>
      </c>
      <c r="H55" s="24">
        <v>0</v>
      </c>
      <c r="I55" s="24">
        <v>1</v>
      </c>
      <c r="J55" s="24">
        <v>3</v>
      </c>
      <c r="K55" s="24" t="s">
        <v>447</v>
      </c>
    </row>
    <row r="56" spans="1:11">
      <c r="A56" s="24">
        <v>83</v>
      </c>
      <c r="B56" s="24">
        <v>4</v>
      </c>
      <c r="C56" s="24">
        <v>1</v>
      </c>
      <c r="D56" s="24">
        <v>3</v>
      </c>
      <c r="E56" s="24">
        <v>1</v>
      </c>
      <c r="F56" s="24">
        <v>1</v>
      </c>
      <c r="G56" s="24">
        <v>0</v>
      </c>
      <c r="H56" s="24">
        <v>0</v>
      </c>
      <c r="I56" s="24">
        <v>1</v>
      </c>
      <c r="J56" s="24">
        <v>3</v>
      </c>
      <c r="K56" s="24" t="s">
        <v>447</v>
      </c>
    </row>
    <row r="57" spans="1:11">
      <c r="A57" s="24">
        <v>79</v>
      </c>
      <c r="B57" s="24">
        <v>4</v>
      </c>
      <c r="C57" s="24">
        <v>1</v>
      </c>
      <c r="D57" s="24">
        <v>3</v>
      </c>
      <c r="E57" s="24">
        <v>2</v>
      </c>
      <c r="F57" s="24">
        <v>1</v>
      </c>
      <c r="G57" s="24">
        <v>0</v>
      </c>
      <c r="H57" s="24">
        <v>0</v>
      </c>
      <c r="I57" s="24">
        <v>1</v>
      </c>
      <c r="J57" s="24">
        <v>3</v>
      </c>
      <c r="K57" s="24" t="s">
        <v>447</v>
      </c>
    </row>
    <row r="58" spans="1:11">
      <c r="A58" s="24">
        <v>83</v>
      </c>
      <c r="B58" s="24">
        <v>4</v>
      </c>
      <c r="C58" s="24">
        <v>2</v>
      </c>
      <c r="D58" s="24">
        <v>1</v>
      </c>
      <c r="E58" s="24">
        <v>2</v>
      </c>
      <c r="F58" s="24">
        <v>1</v>
      </c>
      <c r="G58" s="24">
        <v>0</v>
      </c>
      <c r="H58" s="24">
        <v>0</v>
      </c>
      <c r="I58" s="24">
        <v>1</v>
      </c>
      <c r="J58" s="24">
        <v>3</v>
      </c>
      <c r="K58" s="24" t="s">
        <v>447</v>
      </c>
    </row>
    <row r="59" spans="1:11">
      <c r="A59" s="24">
        <v>90</v>
      </c>
      <c r="B59" s="24">
        <v>4</v>
      </c>
      <c r="C59" s="24">
        <v>1</v>
      </c>
      <c r="D59" s="24">
        <v>3</v>
      </c>
      <c r="E59" s="24">
        <v>2</v>
      </c>
      <c r="F59" s="24">
        <v>1</v>
      </c>
      <c r="G59" s="24">
        <v>0</v>
      </c>
      <c r="H59" s="24">
        <v>0</v>
      </c>
      <c r="I59" s="24">
        <v>1</v>
      </c>
      <c r="J59" s="24">
        <v>3</v>
      </c>
      <c r="K59" s="24" t="s">
        <v>447</v>
      </c>
    </row>
    <row r="60" spans="1:11">
      <c r="A60" s="24">
        <v>87</v>
      </c>
      <c r="B60" s="24">
        <v>5</v>
      </c>
      <c r="C60" s="24">
        <v>2</v>
      </c>
      <c r="D60" s="24">
        <v>2</v>
      </c>
      <c r="E60" s="24">
        <v>2</v>
      </c>
      <c r="F60" s="24">
        <v>1</v>
      </c>
      <c r="G60" s="24">
        <v>0</v>
      </c>
      <c r="H60" s="24">
        <v>0</v>
      </c>
      <c r="I60" s="24">
        <v>1</v>
      </c>
      <c r="J60" s="24">
        <v>3</v>
      </c>
      <c r="K60" s="24" t="s">
        <v>447</v>
      </c>
    </row>
    <row r="61" spans="1:11">
      <c r="A61" s="24">
        <v>93</v>
      </c>
      <c r="B61" s="24">
        <v>5</v>
      </c>
      <c r="C61" s="24">
        <v>2</v>
      </c>
      <c r="D61" s="24">
        <v>1</v>
      </c>
      <c r="E61" s="24">
        <v>2</v>
      </c>
      <c r="F61" s="24">
        <v>1</v>
      </c>
      <c r="G61" s="24">
        <v>0</v>
      </c>
      <c r="H61" s="24">
        <v>0</v>
      </c>
      <c r="I61" s="24">
        <v>1</v>
      </c>
      <c r="J61" s="24">
        <v>3</v>
      </c>
      <c r="K61" s="24" t="s">
        <v>447</v>
      </c>
    </row>
    <row r="62" spans="1:11">
      <c r="A62" s="24">
        <v>93</v>
      </c>
      <c r="B62" s="24">
        <v>1</v>
      </c>
      <c r="C62" s="24">
        <v>4</v>
      </c>
      <c r="D62" s="24">
        <v>2</v>
      </c>
      <c r="E62" s="24">
        <v>2</v>
      </c>
      <c r="F62" s="24">
        <v>0</v>
      </c>
      <c r="G62" s="24">
        <v>1</v>
      </c>
      <c r="H62" s="24">
        <v>0</v>
      </c>
      <c r="I62" s="24">
        <v>1</v>
      </c>
      <c r="J62" s="24">
        <v>4</v>
      </c>
      <c r="K62" s="24" t="s">
        <v>448</v>
      </c>
    </row>
    <row r="63" spans="1:11">
      <c r="A63" s="24">
        <v>89</v>
      </c>
      <c r="B63" s="24">
        <v>2</v>
      </c>
      <c r="C63" s="24">
        <v>4</v>
      </c>
      <c r="D63" s="24">
        <v>2</v>
      </c>
      <c r="E63" s="24">
        <v>1</v>
      </c>
      <c r="F63" s="24">
        <v>0</v>
      </c>
      <c r="G63" s="24">
        <v>1</v>
      </c>
      <c r="H63" s="24">
        <v>0</v>
      </c>
      <c r="I63" s="24">
        <v>1</v>
      </c>
      <c r="J63" s="24">
        <v>4</v>
      </c>
      <c r="K63" s="24" t="s">
        <v>448</v>
      </c>
    </row>
    <row r="64" spans="1:11">
      <c r="A64" s="24">
        <v>88</v>
      </c>
      <c r="B64" s="24">
        <v>1</v>
      </c>
      <c r="C64" s="24">
        <v>4</v>
      </c>
      <c r="D64" s="24">
        <v>1</v>
      </c>
      <c r="E64" s="24">
        <v>1</v>
      </c>
      <c r="F64" s="24">
        <v>0</v>
      </c>
      <c r="G64" s="24">
        <v>1</v>
      </c>
      <c r="H64" s="24">
        <v>0</v>
      </c>
      <c r="I64" s="24">
        <v>1</v>
      </c>
      <c r="J64" s="24">
        <v>4</v>
      </c>
      <c r="K64" s="24" t="s">
        <v>448</v>
      </c>
    </row>
    <row r="65" spans="1:11">
      <c r="A65" s="24">
        <v>90</v>
      </c>
      <c r="B65" s="24">
        <v>1</v>
      </c>
      <c r="C65" s="24">
        <v>4</v>
      </c>
      <c r="D65" s="24">
        <v>2</v>
      </c>
      <c r="E65" s="24">
        <v>2</v>
      </c>
      <c r="F65" s="24">
        <v>0</v>
      </c>
      <c r="G65" s="24">
        <v>1</v>
      </c>
      <c r="H65" s="24">
        <v>0</v>
      </c>
      <c r="I65" s="24">
        <v>1</v>
      </c>
      <c r="J65" s="24">
        <v>4</v>
      </c>
      <c r="K65" s="24" t="s">
        <v>448</v>
      </c>
    </row>
    <row r="66" spans="1:11">
      <c r="A66" s="24">
        <v>86</v>
      </c>
      <c r="B66" s="24">
        <v>2</v>
      </c>
      <c r="C66" s="24">
        <v>4</v>
      </c>
      <c r="D66" s="24">
        <v>2</v>
      </c>
      <c r="E66" s="24">
        <v>1</v>
      </c>
      <c r="F66" s="24">
        <v>0</v>
      </c>
      <c r="G66" s="24">
        <v>1</v>
      </c>
      <c r="H66" s="24">
        <v>0</v>
      </c>
      <c r="I66" s="24">
        <v>1</v>
      </c>
      <c r="J66" s="24">
        <v>4</v>
      </c>
      <c r="K66" s="24" t="s">
        <v>448</v>
      </c>
    </row>
    <row r="67" spans="1:11">
      <c r="A67" s="24">
        <v>92</v>
      </c>
      <c r="B67" s="24">
        <v>2</v>
      </c>
      <c r="C67" s="24">
        <v>4</v>
      </c>
      <c r="D67" s="24">
        <v>2</v>
      </c>
      <c r="E67" s="24">
        <v>1</v>
      </c>
      <c r="F67" s="24">
        <v>0</v>
      </c>
      <c r="G67" s="24">
        <v>1</v>
      </c>
      <c r="H67" s="24">
        <v>0</v>
      </c>
      <c r="I67" s="24">
        <v>1</v>
      </c>
      <c r="J67" s="24">
        <v>4</v>
      </c>
      <c r="K67" s="24" t="s">
        <v>448</v>
      </c>
    </row>
    <row r="68" spans="1:11">
      <c r="A68" s="24">
        <v>87</v>
      </c>
      <c r="B68" s="24">
        <v>2</v>
      </c>
      <c r="C68" s="24">
        <v>5</v>
      </c>
      <c r="D68" s="24">
        <v>2</v>
      </c>
      <c r="E68" s="24">
        <v>1</v>
      </c>
      <c r="F68" s="24">
        <v>0</v>
      </c>
      <c r="G68" s="24">
        <v>1</v>
      </c>
      <c r="H68" s="24">
        <v>0</v>
      </c>
      <c r="I68" s="24">
        <v>1</v>
      </c>
      <c r="J68" s="24">
        <v>4</v>
      </c>
      <c r="K68" s="24" t="s">
        <v>448</v>
      </c>
    </row>
    <row r="69" spans="1:11">
      <c r="A69" s="24">
        <v>96</v>
      </c>
      <c r="B69" s="24">
        <v>1</v>
      </c>
      <c r="C69" s="24">
        <v>4</v>
      </c>
      <c r="D69" s="24">
        <v>2</v>
      </c>
      <c r="E69" s="24">
        <v>2</v>
      </c>
      <c r="F69" s="24">
        <v>0</v>
      </c>
      <c r="G69" s="24">
        <v>1</v>
      </c>
      <c r="H69" s="24">
        <v>0</v>
      </c>
      <c r="I69" s="24">
        <v>1</v>
      </c>
      <c r="J69" s="24">
        <v>4</v>
      </c>
      <c r="K69" s="24" t="s">
        <v>448</v>
      </c>
    </row>
    <row r="70" spans="1:11">
      <c r="A70" s="24">
        <v>89</v>
      </c>
      <c r="B70" s="24">
        <v>1</v>
      </c>
      <c r="C70" s="24">
        <v>4</v>
      </c>
      <c r="D70" s="24">
        <v>1</v>
      </c>
      <c r="E70" s="24">
        <v>2</v>
      </c>
      <c r="F70" s="24">
        <v>0</v>
      </c>
      <c r="G70" s="24">
        <v>1</v>
      </c>
      <c r="H70" s="24">
        <v>0</v>
      </c>
      <c r="I70" s="24">
        <v>1</v>
      </c>
      <c r="J70" s="24">
        <v>4</v>
      </c>
      <c r="K70" s="24" t="s">
        <v>448</v>
      </c>
    </row>
    <row r="71" spans="1:11">
      <c r="A71" s="24">
        <v>95</v>
      </c>
      <c r="B71" s="24">
        <v>2</v>
      </c>
      <c r="C71" s="24">
        <v>4</v>
      </c>
      <c r="D71" s="24">
        <v>1</v>
      </c>
      <c r="E71" s="24">
        <v>2</v>
      </c>
      <c r="F71" s="24">
        <v>0</v>
      </c>
      <c r="G71" s="24">
        <v>1</v>
      </c>
      <c r="H71" s="24">
        <v>0</v>
      </c>
      <c r="I71" s="24">
        <v>1</v>
      </c>
      <c r="J71" s="24">
        <v>4</v>
      </c>
      <c r="K71" s="24" t="s">
        <v>448</v>
      </c>
    </row>
    <row r="72" spans="1:11">
      <c r="A72" s="24">
        <v>88</v>
      </c>
      <c r="B72" s="24">
        <v>2</v>
      </c>
      <c r="C72" s="24">
        <v>5</v>
      </c>
      <c r="D72" s="24">
        <v>2</v>
      </c>
      <c r="E72" s="24">
        <v>1</v>
      </c>
      <c r="F72" s="24">
        <v>0</v>
      </c>
      <c r="G72" s="24">
        <v>1</v>
      </c>
      <c r="H72" s="24">
        <v>0</v>
      </c>
      <c r="I72" s="24">
        <v>1</v>
      </c>
      <c r="J72" s="24">
        <v>4</v>
      </c>
      <c r="K72" s="24" t="s">
        <v>448</v>
      </c>
    </row>
    <row r="73" spans="1:11">
      <c r="A73" s="24">
        <v>85</v>
      </c>
      <c r="B73" s="24">
        <v>1</v>
      </c>
      <c r="C73" s="24">
        <v>5</v>
      </c>
      <c r="D73" s="24">
        <v>1</v>
      </c>
      <c r="E73" s="24">
        <v>2</v>
      </c>
      <c r="F73" s="24">
        <v>0</v>
      </c>
      <c r="G73" s="24">
        <v>1</v>
      </c>
      <c r="H73" s="24">
        <v>0</v>
      </c>
      <c r="I73" s="24">
        <v>1</v>
      </c>
      <c r="J73" s="24">
        <v>4</v>
      </c>
      <c r="K73" s="24" t="s">
        <v>448</v>
      </c>
    </row>
    <row r="74" spans="1:11">
      <c r="A74" s="24">
        <v>88</v>
      </c>
      <c r="B74" s="24">
        <v>2</v>
      </c>
      <c r="C74" s="24">
        <v>5</v>
      </c>
      <c r="D74" s="24">
        <v>1</v>
      </c>
      <c r="E74" s="24">
        <v>2</v>
      </c>
      <c r="F74" s="24">
        <v>0</v>
      </c>
      <c r="G74" s="24">
        <v>1</v>
      </c>
      <c r="H74" s="24">
        <v>0</v>
      </c>
      <c r="I74" s="24">
        <v>1</v>
      </c>
      <c r="J74" s="24">
        <v>4</v>
      </c>
      <c r="K74" s="24" t="s">
        <v>448</v>
      </c>
    </row>
    <row r="75" spans="1:11">
      <c r="A75" s="24">
        <v>90</v>
      </c>
      <c r="B75" s="24">
        <v>2</v>
      </c>
      <c r="C75" s="24">
        <v>4</v>
      </c>
      <c r="D75" s="24">
        <v>1</v>
      </c>
      <c r="E75" s="24">
        <v>2</v>
      </c>
      <c r="F75" s="24">
        <v>0</v>
      </c>
      <c r="G75" s="24">
        <v>1</v>
      </c>
      <c r="H75" s="24">
        <v>0</v>
      </c>
      <c r="I75" s="24">
        <v>1</v>
      </c>
      <c r="J75" s="24">
        <v>4</v>
      </c>
      <c r="K75" s="24" t="s">
        <v>448</v>
      </c>
    </row>
    <row r="76" spans="1:11">
      <c r="A76" s="24">
        <v>86</v>
      </c>
      <c r="B76" s="24">
        <v>2</v>
      </c>
      <c r="C76" s="24">
        <v>5</v>
      </c>
      <c r="D76" s="24">
        <v>1</v>
      </c>
      <c r="E76" s="24">
        <v>2</v>
      </c>
      <c r="F76" s="24">
        <v>0</v>
      </c>
      <c r="G76" s="24">
        <v>1</v>
      </c>
      <c r="H76" s="24">
        <v>0</v>
      </c>
      <c r="I76" s="24">
        <v>1</v>
      </c>
      <c r="J76" s="24">
        <v>4</v>
      </c>
      <c r="K76" s="24" t="s">
        <v>448</v>
      </c>
    </row>
    <row r="77" spans="1:11">
      <c r="A77" s="24">
        <v>85</v>
      </c>
      <c r="B77" s="24">
        <v>1</v>
      </c>
      <c r="C77" s="24">
        <v>5</v>
      </c>
      <c r="D77" s="24">
        <v>2</v>
      </c>
      <c r="E77" s="24">
        <v>1</v>
      </c>
      <c r="F77" s="24">
        <v>0</v>
      </c>
      <c r="G77" s="24">
        <v>1</v>
      </c>
      <c r="H77" s="24">
        <v>0</v>
      </c>
      <c r="I77" s="24">
        <v>1</v>
      </c>
      <c r="J77" s="24">
        <v>4</v>
      </c>
      <c r="K77" s="24" t="s">
        <v>448</v>
      </c>
    </row>
    <row r="78" spans="1:11">
      <c r="A78" s="24">
        <v>85</v>
      </c>
      <c r="B78" s="24">
        <v>2</v>
      </c>
      <c r="C78" s="24">
        <v>4</v>
      </c>
      <c r="D78" s="24">
        <v>2</v>
      </c>
      <c r="E78" s="24">
        <v>2</v>
      </c>
      <c r="F78" s="24">
        <v>0</v>
      </c>
      <c r="G78" s="24">
        <v>1</v>
      </c>
      <c r="H78" s="24">
        <v>0</v>
      </c>
      <c r="I78" s="24">
        <v>1</v>
      </c>
      <c r="J78" s="24">
        <v>4</v>
      </c>
      <c r="K78" s="24" t="s">
        <v>448</v>
      </c>
    </row>
    <row r="79" spans="1:11">
      <c r="A79" s="24">
        <v>93</v>
      </c>
      <c r="B79" s="24">
        <v>1</v>
      </c>
      <c r="C79" s="24">
        <v>5</v>
      </c>
      <c r="D79" s="24">
        <v>2</v>
      </c>
      <c r="E79" s="24">
        <v>1</v>
      </c>
      <c r="F79" s="24">
        <v>0</v>
      </c>
      <c r="G79" s="24">
        <v>1</v>
      </c>
      <c r="H79" s="24">
        <v>0</v>
      </c>
      <c r="I79" s="24">
        <v>1</v>
      </c>
      <c r="J79" s="24">
        <v>4</v>
      </c>
      <c r="K79" s="24" t="s">
        <v>448</v>
      </c>
    </row>
    <row r="80" spans="1:11">
      <c r="A80" s="24">
        <v>87</v>
      </c>
      <c r="B80" s="24">
        <v>2</v>
      </c>
      <c r="C80" s="24">
        <v>5</v>
      </c>
      <c r="D80" s="24">
        <v>1</v>
      </c>
      <c r="E80" s="24">
        <v>1</v>
      </c>
      <c r="F80" s="24">
        <v>0</v>
      </c>
      <c r="G80" s="24">
        <v>1</v>
      </c>
      <c r="H80" s="24">
        <v>0</v>
      </c>
      <c r="I80" s="24">
        <v>1</v>
      </c>
      <c r="J80" s="24">
        <v>4</v>
      </c>
      <c r="K80" s="24" t="s">
        <v>448</v>
      </c>
    </row>
    <row r="81" spans="1:11">
      <c r="A81" s="24">
        <v>97</v>
      </c>
      <c r="B81" s="24">
        <v>1</v>
      </c>
      <c r="C81" s="24">
        <v>5</v>
      </c>
      <c r="D81" s="24">
        <v>1</v>
      </c>
      <c r="E81" s="24">
        <v>1</v>
      </c>
      <c r="F81" s="24">
        <v>0</v>
      </c>
      <c r="G81" s="24">
        <v>1</v>
      </c>
      <c r="H81" s="24">
        <v>0</v>
      </c>
      <c r="I81" s="24">
        <v>1</v>
      </c>
      <c r="J81" s="24">
        <v>4</v>
      </c>
      <c r="K81" s="24" t="s">
        <v>448</v>
      </c>
    </row>
    <row r="82" spans="1:11">
      <c r="A82" s="24">
        <v>85</v>
      </c>
      <c r="B82" s="24">
        <v>2</v>
      </c>
      <c r="C82" s="24">
        <v>5</v>
      </c>
      <c r="D82" s="24">
        <v>1</v>
      </c>
      <c r="E82" s="24">
        <v>1</v>
      </c>
      <c r="F82" s="24">
        <v>0</v>
      </c>
      <c r="G82" s="24">
        <v>1</v>
      </c>
      <c r="H82" s="24">
        <v>0</v>
      </c>
      <c r="I82" s="24">
        <v>1</v>
      </c>
      <c r="J82" s="24">
        <v>4</v>
      </c>
      <c r="K82" s="24" t="s">
        <v>448</v>
      </c>
    </row>
    <row r="83" spans="1:11">
      <c r="A83" s="24">
        <v>100</v>
      </c>
      <c r="B83" s="24">
        <v>1</v>
      </c>
      <c r="C83" s="24">
        <v>5</v>
      </c>
      <c r="D83" s="24">
        <v>1</v>
      </c>
      <c r="E83" s="24">
        <v>1</v>
      </c>
      <c r="F83" s="24">
        <v>0</v>
      </c>
      <c r="G83" s="24">
        <v>1</v>
      </c>
      <c r="H83" s="24">
        <v>0</v>
      </c>
      <c r="I83" s="24">
        <v>1</v>
      </c>
      <c r="J83" s="24">
        <v>4</v>
      </c>
      <c r="K83" s="24" t="s">
        <v>448</v>
      </c>
    </row>
    <row r="84" spans="1:11">
      <c r="A84" s="24">
        <v>92</v>
      </c>
      <c r="B84" s="24">
        <v>2</v>
      </c>
      <c r="C84" s="24">
        <v>5</v>
      </c>
      <c r="D84" s="24">
        <v>2</v>
      </c>
      <c r="E84" s="24">
        <v>2</v>
      </c>
      <c r="F84" s="24">
        <v>0</v>
      </c>
      <c r="G84" s="24">
        <v>1</v>
      </c>
      <c r="H84" s="24">
        <v>0</v>
      </c>
      <c r="I84" s="24">
        <v>1</v>
      </c>
      <c r="J84" s="24">
        <v>4</v>
      </c>
      <c r="K84" s="24" t="s">
        <v>448</v>
      </c>
    </row>
    <row r="85" spans="1:11">
      <c r="A85" s="24">
        <v>94</v>
      </c>
      <c r="B85" s="24">
        <v>2</v>
      </c>
      <c r="C85" s="24">
        <v>4</v>
      </c>
      <c r="D85" s="24">
        <v>2</v>
      </c>
      <c r="E85" s="24">
        <v>2</v>
      </c>
      <c r="F85" s="24">
        <v>0</v>
      </c>
      <c r="G85" s="24">
        <v>1</v>
      </c>
      <c r="H85" s="24">
        <v>0</v>
      </c>
      <c r="I85" s="24">
        <v>1</v>
      </c>
      <c r="J85" s="24">
        <v>4</v>
      </c>
      <c r="K85" s="24" t="s">
        <v>448</v>
      </c>
    </row>
    <row r="86" spans="1:11">
      <c r="A86" s="24">
        <v>87</v>
      </c>
      <c r="B86" s="24">
        <v>1</v>
      </c>
      <c r="C86" s="24">
        <v>5</v>
      </c>
      <c r="D86" s="24">
        <v>2</v>
      </c>
      <c r="E86" s="24">
        <v>1</v>
      </c>
      <c r="F86" s="24">
        <v>0</v>
      </c>
      <c r="G86" s="24">
        <v>1</v>
      </c>
      <c r="H86" s="24">
        <v>0</v>
      </c>
      <c r="I86" s="24">
        <v>1</v>
      </c>
      <c r="J86" s="24">
        <v>4</v>
      </c>
      <c r="K86" s="24" t="s">
        <v>448</v>
      </c>
    </row>
    <row r="87" spans="1:11">
      <c r="A87" s="24">
        <v>87</v>
      </c>
      <c r="B87" s="24">
        <v>1</v>
      </c>
      <c r="C87" s="24">
        <v>5</v>
      </c>
      <c r="D87" s="24">
        <v>2</v>
      </c>
      <c r="E87" s="24">
        <v>1</v>
      </c>
      <c r="F87" s="24">
        <v>0</v>
      </c>
      <c r="G87" s="24">
        <v>1</v>
      </c>
      <c r="H87" s="24">
        <v>0</v>
      </c>
      <c r="I87" s="24">
        <v>1</v>
      </c>
      <c r="J87" s="24">
        <v>4</v>
      </c>
      <c r="K87" s="24" t="s">
        <v>448</v>
      </c>
    </row>
    <row r="88" spans="1:11">
      <c r="A88" s="24">
        <v>92</v>
      </c>
      <c r="B88" s="24">
        <v>1</v>
      </c>
      <c r="C88" s="24">
        <v>4</v>
      </c>
      <c r="D88" s="24">
        <v>1</v>
      </c>
      <c r="E88" s="24">
        <v>1</v>
      </c>
      <c r="F88" s="24">
        <v>0</v>
      </c>
      <c r="G88" s="24">
        <v>1</v>
      </c>
      <c r="H88" s="24">
        <v>0</v>
      </c>
      <c r="I88" s="24">
        <v>1</v>
      </c>
      <c r="J88" s="24">
        <v>4</v>
      </c>
      <c r="K88" s="24" t="s">
        <v>448</v>
      </c>
    </row>
    <row r="89" spans="1:11">
      <c r="A89" s="24">
        <v>95</v>
      </c>
      <c r="B89" s="24">
        <v>1</v>
      </c>
      <c r="C89" s="24">
        <v>4</v>
      </c>
      <c r="D89" s="24">
        <v>2</v>
      </c>
      <c r="E89" s="24">
        <v>1</v>
      </c>
      <c r="F89" s="24">
        <v>0</v>
      </c>
      <c r="G89" s="24">
        <v>1</v>
      </c>
      <c r="H89" s="24">
        <v>0</v>
      </c>
      <c r="I89" s="24">
        <v>1</v>
      </c>
      <c r="J89" s="24">
        <v>4</v>
      </c>
      <c r="K89" s="24" t="s">
        <v>448</v>
      </c>
    </row>
    <row r="90" spans="1:11">
      <c r="A90" s="24">
        <v>93</v>
      </c>
      <c r="B90" s="24">
        <v>2</v>
      </c>
      <c r="C90" s="24">
        <v>5</v>
      </c>
      <c r="D90" s="24">
        <v>2</v>
      </c>
      <c r="E90" s="24">
        <v>1</v>
      </c>
      <c r="F90" s="24">
        <v>0</v>
      </c>
      <c r="G90" s="24">
        <v>1</v>
      </c>
      <c r="H90" s="24">
        <v>0</v>
      </c>
      <c r="I90" s="24">
        <v>1</v>
      </c>
      <c r="J90" s="24">
        <v>4</v>
      </c>
      <c r="K90" s="24" t="s">
        <v>448</v>
      </c>
    </row>
    <row r="91" spans="1:11">
      <c r="A91" s="24">
        <v>88</v>
      </c>
      <c r="B91" s="24">
        <v>1</v>
      </c>
      <c r="C91" s="24">
        <v>4</v>
      </c>
      <c r="D91" s="24">
        <v>1</v>
      </c>
      <c r="E91" s="24">
        <v>1</v>
      </c>
      <c r="F91" s="24">
        <v>0</v>
      </c>
      <c r="G91" s="24">
        <v>1</v>
      </c>
      <c r="H91" s="24">
        <v>0</v>
      </c>
      <c r="I91" s="24">
        <v>1</v>
      </c>
      <c r="J91" s="24">
        <v>4</v>
      </c>
      <c r="K91" s="24" t="s">
        <v>448</v>
      </c>
    </row>
    <row r="92" spans="1:11">
      <c r="A92" s="24">
        <v>92</v>
      </c>
      <c r="B92" s="24">
        <v>2</v>
      </c>
      <c r="C92" s="24">
        <v>4</v>
      </c>
      <c r="D92" s="24">
        <v>2</v>
      </c>
      <c r="E92" s="24">
        <v>1</v>
      </c>
      <c r="F92" s="24">
        <v>0</v>
      </c>
      <c r="G92" s="24">
        <v>1</v>
      </c>
      <c r="H92" s="24">
        <v>0</v>
      </c>
      <c r="I92" s="24">
        <v>1</v>
      </c>
      <c r="J92" s="24">
        <v>4</v>
      </c>
      <c r="K92" s="24" t="s">
        <v>448</v>
      </c>
    </row>
    <row r="93" spans="1:11">
      <c r="A93" s="24">
        <v>94</v>
      </c>
      <c r="B93" s="24">
        <v>2</v>
      </c>
      <c r="C93" s="24">
        <v>4</v>
      </c>
      <c r="D93" s="24">
        <v>2</v>
      </c>
      <c r="E93" s="24">
        <v>2</v>
      </c>
      <c r="F93" s="24">
        <v>0</v>
      </c>
      <c r="G93" s="24">
        <v>1</v>
      </c>
      <c r="H93" s="24">
        <v>0</v>
      </c>
      <c r="I93" s="24">
        <v>1</v>
      </c>
      <c r="J93" s="24">
        <v>4</v>
      </c>
      <c r="K93" s="24" t="s">
        <v>448</v>
      </c>
    </row>
    <row r="94" spans="1:11">
      <c r="A94" s="24">
        <v>92</v>
      </c>
      <c r="B94" s="24">
        <v>1</v>
      </c>
      <c r="C94" s="24">
        <v>4</v>
      </c>
      <c r="D94" s="24">
        <v>2</v>
      </c>
      <c r="E94" s="24">
        <v>1</v>
      </c>
      <c r="F94" s="24">
        <v>0</v>
      </c>
      <c r="G94" s="24">
        <v>1</v>
      </c>
      <c r="H94" s="24">
        <v>0</v>
      </c>
      <c r="I94" s="24">
        <v>1</v>
      </c>
      <c r="J94" s="24">
        <v>4</v>
      </c>
      <c r="K94" s="24" t="s">
        <v>448</v>
      </c>
    </row>
    <row r="95" spans="1:11">
      <c r="A95" s="24">
        <v>86</v>
      </c>
      <c r="B95" s="24">
        <v>2</v>
      </c>
      <c r="C95" s="24">
        <v>5</v>
      </c>
      <c r="D95" s="24">
        <v>2</v>
      </c>
      <c r="E95" s="24">
        <v>2</v>
      </c>
      <c r="F95" s="24">
        <v>0</v>
      </c>
      <c r="G95" s="24">
        <v>1</v>
      </c>
      <c r="H95" s="24">
        <v>0</v>
      </c>
      <c r="I95" s="24">
        <v>1</v>
      </c>
      <c r="J95" s="24">
        <v>4</v>
      </c>
      <c r="K95" s="24" t="s">
        <v>448</v>
      </c>
    </row>
    <row r="96" spans="1:11">
      <c r="A96" s="24">
        <v>94</v>
      </c>
      <c r="B96" s="24">
        <v>1</v>
      </c>
      <c r="C96" s="24">
        <v>5</v>
      </c>
      <c r="D96" s="24">
        <v>1</v>
      </c>
      <c r="E96" s="24">
        <v>1</v>
      </c>
      <c r="F96" s="24">
        <v>0</v>
      </c>
      <c r="G96" s="24">
        <v>1</v>
      </c>
      <c r="H96" s="24">
        <v>0</v>
      </c>
      <c r="I96" s="24">
        <v>1</v>
      </c>
      <c r="J96" s="24">
        <v>4</v>
      </c>
      <c r="K96" s="24" t="s">
        <v>448</v>
      </c>
    </row>
    <row r="97" spans="1:11">
      <c r="A97" s="24">
        <v>95</v>
      </c>
      <c r="B97" s="24">
        <v>1</v>
      </c>
      <c r="C97" s="24">
        <v>5</v>
      </c>
      <c r="D97" s="24">
        <v>2</v>
      </c>
      <c r="E97" s="24">
        <v>2</v>
      </c>
      <c r="F97" s="24">
        <v>0</v>
      </c>
      <c r="G97" s="24">
        <v>1</v>
      </c>
      <c r="H97" s="24">
        <v>0</v>
      </c>
      <c r="I97" s="24">
        <v>1</v>
      </c>
      <c r="J97" s="24">
        <v>4</v>
      </c>
      <c r="K97" s="24" t="s">
        <v>448</v>
      </c>
    </row>
    <row r="98" spans="1:11">
      <c r="A98" s="24">
        <v>92</v>
      </c>
      <c r="B98" s="24">
        <v>1</v>
      </c>
      <c r="C98" s="24">
        <v>5</v>
      </c>
      <c r="D98" s="24">
        <v>2</v>
      </c>
      <c r="E98" s="24">
        <v>2</v>
      </c>
      <c r="F98" s="24">
        <v>0</v>
      </c>
      <c r="G98" s="24">
        <v>1</v>
      </c>
      <c r="H98" s="24">
        <v>0</v>
      </c>
      <c r="I98" s="24">
        <v>1</v>
      </c>
      <c r="J98" s="24">
        <v>4</v>
      </c>
      <c r="K98" s="24" t="s">
        <v>448</v>
      </c>
    </row>
    <row r="99" spans="1:11">
      <c r="A99" s="24">
        <v>89</v>
      </c>
      <c r="B99" s="24">
        <v>2</v>
      </c>
      <c r="C99" s="24">
        <v>4</v>
      </c>
      <c r="D99" s="24">
        <v>1</v>
      </c>
      <c r="E99" s="24">
        <v>2</v>
      </c>
      <c r="F99" s="24">
        <v>0</v>
      </c>
      <c r="G99" s="24">
        <v>1</v>
      </c>
      <c r="H99" s="24">
        <v>0</v>
      </c>
      <c r="I99" s="24">
        <v>1</v>
      </c>
      <c r="J99" s="24">
        <v>4</v>
      </c>
      <c r="K99" s="24" t="s">
        <v>448</v>
      </c>
    </row>
    <row r="100" spans="1:11">
      <c r="A100" s="24">
        <v>94</v>
      </c>
      <c r="B100" s="24">
        <v>2</v>
      </c>
      <c r="C100" s="24">
        <v>4</v>
      </c>
      <c r="D100" s="24">
        <v>1</v>
      </c>
      <c r="E100" s="24">
        <v>2</v>
      </c>
      <c r="F100" s="24">
        <v>0</v>
      </c>
      <c r="G100" s="24">
        <v>1</v>
      </c>
      <c r="H100" s="24">
        <v>0</v>
      </c>
      <c r="I100" s="24">
        <v>1</v>
      </c>
      <c r="J100" s="24">
        <v>4</v>
      </c>
      <c r="K100" s="24" t="s">
        <v>448</v>
      </c>
    </row>
    <row r="101" spans="1:11">
      <c r="A101" s="24">
        <v>97</v>
      </c>
      <c r="B101" s="24">
        <v>2</v>
      </c>
      <c r="C101" s="24">
        <v>5</v>
      </c>
      <c r="D101" s="24">
        <v>2</v>
      </c>
      <c r="E101" s="24">
        <v>1</v>
      </c>
      <c r="F101" s="24">
        <v>0</v>
      </c>
      <c r="G101" s="24">
        <v>1</v>
      </c>
      <c r="H101" s="24">
        <v>0</v>
      </c>
      <c r="I101" s="24">
        <v>1</v>
      </c>
      <c r="J101" s="24">
        <v>4</v>
      </c>
      <c r="K101" s="24" t="s">
        <v>448</v>
      </c>
    </row>
    <row r="102" spans="1:11">
      <c r="A102" s="24">
        <v>94</v>
      </c>
      <c r="B102" s="24">
        <v>1</v>
      </c>
      <c r="C102" s="24">
        <v>5</v>
      </c>
      <c r="D102" s="24">
        <v>1</v>
      </c>
      <c r="E102" s="24">
        <v>1</v>
      </c>
      <c r="F102" s="24">
        <v>0</v>
      </c>
      <c r="G102" s="24">
        <v>1</v>
      </c>
      <c r="H102" s="24">
        <v>0</v>
      </c>
      <c r="I102" s="24">
        <v>1</v>
      </c>
      <c r="J102" s="24">
        <v>4</v>
      </c>
      <c r="K102" s="24" t="s">
        <v>448</v>
      </c>
    </row>
    <row r="103" spans="1:11">
      <c r="A103" s="24">
        <v>92</v>
      </c>
      <c r="B103" s="24">
        <v>2</v>
      </c>
      <c r="C103" s="24">
        <v>5</v>
      </c>
      <c r="D103" s="24">
        <v>1</v>
      </c>
      <c r="E103" s="24">
        <v>2</v>
      </c>
      <c r="F103" s="24">
        <v>0</v>
      </c>
      <c r="G103" s="24">
        <v>1</v>
      </c>
      <c r="H103" s="24">
        <v>0</v>
      </c>
      <c r="I103" s="24">
        <v>1</v>
      </c>
      <c r="J103" s="24">
        <v>4</v>
      </c>
      <c r="K103" s="24" t="s">
        <v>448</v>
      </c>
    </row>
    <row r="104" spans="1:11">
      <c r="A104" s="24">
        <v>100</v>
      </c>
      <c r="B104" s="24">
        <v>2</v>
      </c>
      <c r="C104" s="24">
        <v>4</v>
      </c>
      <c r="D104" s="24">
        <v>1</v>
      </c>
      <c r="E104" s="24">
        <v>2</v>
      </c>
      <c r="F104" s="24">
        <v>0</v>
      </c>
      <c r="G104" s="24">
        <v>1</v>
      </c>
      <c r="H104" s="24">
        <v>0</v>
      </c>
      <c r="I104" s="24">
        <v>1</v>
      </c>
      <c r="J104" s="24">
        <v>4</v>
      </c>
      <c r="K104" s="24" t="s">
        <v>448</v>
      </c>
    </row>
    <row r="105" spans="1:11">
      <c r="A105" s="24">
        <v>85</v>
      </c>
      <c r="B105" s="24">
        <v>1</v>
      </c>
      <c r="C105" s="24">
        <v>4</v>
      </c>
      <c r="D105" s="24">
        <v>2</v>
      </c>
      <c r="E105" s="24">
        <v>2</v>
      </c>
      <c r="F105" s="24">
        <v>0</v>
      </c>
      <c r="G105" s="24">
        <v>1</v>
      </c>
      <c r="H105" s="24">
        <v>0</v>
      </c>
      <c r="I105" s="24">
        <v>1</v>
      </c>
      <c r="J105" s="24">
        <v>4</v>
      </c>
      <c r="K105" s="24" t="s">
        <v>448</v>
      </c>
    </row>
    <row r="106" spans="1:11">
      <c r="A106" s="24">
        <v>98</v>
      </c>
      <c r="B106" s="24">
        <v>2</v>
      </c>
      <c r="C106" s="24">
        <v>5</v>
      </c>
      <c r="D106" s="24">
        <v>2</v>
      </c>
      <c r="E106" s="24">
        <v>1</v>
      </c>
      <c r="F106" s="24">
        <v>0</v>
      </c>
      <c r="G106" s="24">
        <v>1</v>
      </c>
      <c r="H106" s="24">
        <v>0</v>
      </c>
      <c r="I106" s="24">
        <v>1</v>
      </c>
      <c r="J106" s="24">
        <v>4</v>
      </c>
      <c r="K106" s="24" t="s">
        <v>448</v>
      </c>
    </row>
    <row r="107" spans="1:11">
      <c r="A107" s="24">
        <v>98</v>
      </c>
      <c r="B107" s="24">
        <v>2</v>
      </c>
      <c r="C107" s="24">
        <v>5</v>
      </c>
      <c r="D107" s="24">
        <v>1</v>
      </c>
      <c r="E107" s="24">
        <v>1</v>
      </c>
      <c r="F107" s="24">
        <v>0</v>
      </c>
      <c r="G107" s="24">
        <v>1</v>
      </c>
      <c r="H107" s="24">
        <v>0</v>
      </c>
      <c r="I107" s="24">
        <v>1</v>
      </c>
      <c r="J107" s="24">
        <v>4</v>
      </c>
      <c r="K107" s="24" t="s">
        <v>448</v>
      </c>
    </row>
    <row r="108" spans="1:11">
      <c r="A108" s="24">
        <v>88</v>
      </c>
      <c r="B108" s="24">
        <v>1</v>
      </c>
      <c r="C108" s="24">
        <v>5</v>
      </c>
      <c r="D108" s="24">
        <v>2</v>
      </c>
      <c r="E108" s="24">
        <v>2</v>
      </c>
      <c r="F108" s="24">
        <v>0</v>
      </c>
      <c r="G108" s="24">
        <v>1</v>
      </c>
      <c r="H108" s="24">
        <v>0</v>
      </c>
      <c r="I108" s="24">
        <v>1</v>
      </c>
      <c r="J108" s="24">
        <v>4</v>
      </c>
      <c r="K108" s="24" t="s">
        <v>448</v>
      </c>
    </row>
    <row r="109" spans="1:11">
      <c r="A109" s="24">
        <v>86</v>
      </c>
      <c r="B109" s="24">
        <v>1</v>
      </c>
      <c r="C109" s="24">
        <v>5</v>
      </c>
      <c r="D109" s="24">
        <v>1</v>
      </c>
      <c r="E109" s="24">
        <v>1</v>
      </c>
      <c r="F109" s="24">
        <v>0</v>
      </c>
      <c r="G109" s="24">
        <v>1</v>
      </c>
      <c r="H109" s="24">
        <v>0</v>
      </c>
      <c r="I109" s="24">
        <v>1</v>
      </c>
      <c r="J109" s="24">
        <v>4</v>
      </c>
      <c r="K109" s="24" t="s">
        <v>448</v>
      </c>
    </row>
    <row r="110" spans="1:11">
      <c r="A110" s="24">
        <v>99</v>
      </c>
      <c r="B110" s="24">
        <v>2</v>
      </c>
      <c r="C110" s="24">
        <v>5</v>
      </c>
      <c r="D110" s="24">
        <v>2</v>
      </c>
      <c r="E110" s="24">
        <v>1</v>
      </c>
      <c r="F110" s="24">
        <v>0</v>
      </c>
      <c r="G110" s="24">
        <v>1</v>
      </c>
      <c r="H110" s="24">
        <v>0</v>
      </c>
      <c r="I110" s="24">
        <v>1</v>
      </c>
      <c r="J110" s="24">
        <v>4</v>
      </c>
      <c r="K110" s="24" t="s">
        <v>448</v>
      </c>
    </row>
    <row r="111" spans="1:11">
      <c r="A111" s="24">
        <v>89</v>
      </c>
      <c r="B111" s="24">
        <v>1</v>
      </c>
      <c r="C111" s="24">
        <v>5</v>
      </c>
      <c r="D111" s="24">
        <v>1</v>
      </c>
      <c r="E111" s="24">
        <v>1</v>
      </c>
      <c r="F111" s="24">
        <v>0</v>
      </c>
      <c r="G111" s="24">
        <v>1</v>
      </c>
      <c r="H111" s="24">
        <v>0</v>
      </c>
      <c r="I111" s="24">
        <v>1</v>
      </c>
      <c r="J111" s="24">
        <v>4</v>
      </c>
      <c r="K111" s="24" t="s">
        <v>448</v>
      </c>
    </row>
    <row r="112" spans="1:11">
      <c r="A112" s="24">
        <v>92</v>
      </c>
      <c r="B112" s="24">
        <v>1</v>
      </c>
      <c r="C112" s="24">
        <v>5</v>
      </c>
      <c r="D112" s="24">
        <v>2</v>
      </c>
      <c r="E112" s="24">
        <v>2</v>
      </c>
      <c r="F112" s="24">
        <v>0</v>
      </c>
      <c r="G112" s="24">
        <v>1</v>
      </c>
      <c r="H112" s="24">
        <v>0</v>
      </c>
      <c r="I112" s="24">
        <v>1</v>
      </c>
      <c r="J112" s="24">
        <v>4</v>
      </c>
      <c r="K112" s="24" t="s">
        <v>448</v>
      </c>
    </row>
    <row r="113" spans="1:11">
      <c r="A113" s="24">
        <v>91</v>
      </c>
      <c r="B113" s="24">
        <v>2</v>
      </c>
      <c r="C113" s="24">
        <v>5</v>
      </c>
      <c r="D113" s="24">
        <v>2</v>
      </c>
      <c r="E113" s="24">
        <v>1</v>
      </c>
      <c r="F113" s="24">
        <v>0</v>
      </c>
      <c r="G113" s="24">
        <v>1</v>
      </c>
      <c r="H113" s="24">
        <v>0</v>
      </c>
      <c r="I113" s="24">
        <v>1</v>
      </c>
      <c r="J113" s="24">
        <v>4</v>
      </c>
      <c r="K113" s="24" t="s">
        <v>448</v>
      </c>
    </row>
    <row r="114" spans="1:11">
      <c r="A114" s="24">
        <v>97</v>
      </c>
      <c r="B114" s="24">
        <v>2</v>
      </c>
      <c r="C114" s="24">
        <v>4</v>
      </c>
      <c r="D114" s="24">
        <v>2</v>
      </c>
      <c r="E114" s="24">
        <v>2</v>
      </c>
      <c r="F114" s="24">
        <v>0</v>
      </c>
      <c r="G114" s="24">
        <v>1</v>
      </c>
      <c r="H114" s="24">
        <v>0</v>
      </c>
      <c r="I114" s="24">
        <v>1</v>
      </c>
      <c r="J114" s="24">
        <v>4</v>
      </c>
      <c r="K114" s="24" t="s">
        <v>448</v>
      </c>
    </row>
    <row r="115" spans="1:11">
      <c r="A115" s="24">
        <v>85</v>
      </c>
      <c r="B115" s="24">
        <v>1</v>
      </c>
      <c r="C115" s="24">
        <v>5</v>
      </c>
      <c r="D115" s="24">
        <v>2</v>
      </c>
      <c r="E115" s="24">
        <v>2</v>
      </c>
      <c r="F115" s="24">
        <v>0</v>
      </c>
      <c r="G115" s="24">
        <v>1</v>
      </c>
      <c r="H115" s="24">
        <v>0</v>
      </c>
      <c r="I115" s="24">
        <v>1</v>
      </c>
      <c r="J115" s="24">
        <v>4</v>
      </c>
      <c r="K115" s="24" t="s">
        <v>448</v>
      </c>
    </row>
    <row r="116" spans="1:11">
      <c r="A116" s="24">
        <v>87</v>
      </c>
      <c r="B116" s="24">
        <v>1</v>
      </c>
      <c r="C116" s="24">
        <v>4</v>
      </c>
      <c r="D116" s="24">
        <v>1</v>
      </c>
      <c r="E116" s="24">
        <v>2</v>
      </c>
      <c r="F116" s="24">
        <v>0</v>
      </c>
      <c r="G116" s="24">
        <v>1</v>
      </c>
      <c r="H116" s="24">
        <v>0</v>
      </c>
      <c r="I116" s="24">
        <v>1</v>
      </c>
      <c r="J116" s="24">
        <v>4</v>
      </c>
      <c r="K116" s="24" t="s">
        <v>448</v>
      </c>
    </row>
    <row r="117" spans="1:11">
      <c r="A117" s="24">
        <v>93</v>
      </c>
      <c r="B117" s="24">
        <v>2</v>
      </c>
      <c r="C117" s="24">
        <v>5</v>
      </c>
      <c r="D117" s="24">
        <v>2</v>
      </c>
      <c r="E117" s="24">
        <v>2</v>
      </c>
      <c r="F117" s="24">
        <v>0</v>
      </c>
      <c r="G117" s="24">
        <v>1</v>
      </c>
      <c r="H117" s="24">
        <v>0</v>
      </c>
      <c r="I117" s="24">
        <v>1</v>
      </c>
      <c r="J117" s="24">
        <v>4</v>
      </c>
      <c r="K117" s="24" t="s">
        <v>448</v>
      </c>
    </row>
    <row r="118" spans="1:11">
      <c r="A118" s="24">
        <v>92</v>
      </c>
      <c r="B118" s="24">
        <v>2</v>
      </c>
      <c r="C118" s="24">
        <v>5</v>
      </c>
      <c r="D118" s="24">
        <v>1</v>
      </c>
      <c r="E118" s="24">
        <v>1</v>
      </c>
      <c r="F118" s="24">
        <v>0</v>
      </c>
      <c r="G118" s="24">
        <v>1</v>
      </c>
      <c r="H118" s="24">
        <v>0</v>
      </c>
      <c r="I118" s="24">
        <v>1</v>
      </c>
      <c r="J118" s="24">
        <v>4</v>
      </c>
      <c r="K118" s="24" t="s">
        <v>448</v>
      </c>
    </row>
    <row r="119" spans="1:11">
      <c r="A119" s="24">
        <v>97</v>
      </c>
      <c r="B119" s="24">
        <v>1</v>
      </c>
      <c r="C119" s="24">
        <v>5</v>
      </c>
      <c r="D119" s="24">
        <v>1</v>
      </c>
      <c r="E119" s="24">
        <v>1</v>
      </c>
      <c r="F119" s="24">
        <v>0</v>
      </c>
      <c r="G119" s="24">
        <v>1</v>
      </c>
      <c r="H119" s="24">
        <v>0</v>
      </c>
      <c r="I119" s="24">
        <v>1</v>
      </c>
      <c r="J119" s="24">
        <v>4</v>
      </c>
      <c r="K119" s="24" t="s">
        <v>448</v>
      </c>
    </row>
    <row r="120" spans="1:11">
      <c r="A120" s="24">
        <v>89</v>
      </c>
      <c r="B120" s="24">
        <v>2</v>
      </c>
      <c r="C120" s="24">
        <v>5</v>
      </c>
      <c r="D120" s="24">
        <v>1</v>
      </c>
      <c r="E120" s="24">
        <v>1</v>
      </c>
      <c r="F120" s="24">
        <v>0</v>
      </c>
      <c r="G120" s="24">
        <v>1</v>
      </c>
      <c r="H120" s="24">
        <v>0</v>
      </c>
      <c r="I120" s="24">
        <v>1</v>
      </c>
      <c r="J120" s="24">
        <v>4</v>
      </c>
      <c r="K120" s="24" t="s">
        <v>448</v>
      </c>
    </row>
    <row r="121" spans="1:11">
      <c r="A121" s="24">
        <v>100</v>
      </c>
      <c r="B121" s="24">
        <v>1</v>
      </c>
      <c r="C121" s="24">
        <v>4</v>
      </c>
      <c r="D121" s="24">
        <v>1</v>
      </c>
      <c r="E121" s="24">
        <v>1</v>
      </c>
      <c r="F121" s="24">
        <v>0</v>
      </c>
      <c r="G121" s="24">
        <v>1</v>
      </c>
      <c r="H121" s="24">
        <v>0</v>
      </c>
      <c r="I121" s="24">
        <v>1</v>
      </c>
      <c r="J121" s="24">
        <v>4</v>
      </c>
      <c r="K121" s="24" t="s">
        <v>448</v>
      </c>
    </row>
    <row r="122" spans="1:11">
      <c r="A122" s="24">
        <v>90</v>
      </c>
      <c r="B122" s="24">
        <v>1</v>
      </c>
      <c r="C122" s="24">
        <v>2</v>
      </c>
      <c r="D122" s="24">
        <v>5</v>
      </c>
      <c r="E122" s="24">
        <v>3</v>
      </c>
      <c r="F122" s="24">
        <v>0</v>
      </c>
      <c r="G122" s="24">
        <v>1</v>
      </c>
      <c r="H122" s="24">
        <v>0</v>
      </c>
      <c r="I122" s="24">
        <v>0</v>
      </c>
      <c r="J122" s="24">
        <v>2</v>
      </c>
      <c r="K122" s="24" t="s">
        <v>449</v>
      </c>
    </row>
    <row r="123" spans="1:11">
      <c r="A123" s="24">
        <v>73</v>
      </c>
      <c r="B123" s="24">
        <v>2</v>
      </c>
      <c r="C123" s="24">
        <v>1</v>
      </c>
      <c r="D123" s="24">
        <v>5</v>
      </c>
      <c r="E123" s="24">
        <v>3</v>
      </c>
      <c r="F123" s="24">
        <v>0</v>
      </c>
      <c r="G123" s="24">
        <v>1</v>
      </c>
      <c r="H123" s="24">
        <v>0</v>
      </c>
      <c r="I123" s="24">
        <v>0</v>
      </c>
      <c r="J123" s="24">
        <v>2</v>
      </c>
      <c r="K123" s="24" t="s">
        <v>449</v>
      </c>
    </row>
    <row r="124" spans="1:11">
      <c r="A124" s="24">
        <v>85</v>
      </c>
      <c r="B124" s="24">
        <v>1</v>
      </c>
      <c r="C124" s="24">
        <v>1</v>
      </c>
      <c r="D124" s="24">
        <v>4</v>
      </c>
      <c r="E124" s="24">
        <v>3</v>
      </c>
      <c r="F124" s="24">
        <v>0</v>
      </c>
      <c r="G124" s="24">
        <v>1</v>
      </c>
      <c r="H124" s="24">
        <v>0</v>
      </c>
      <c r="I124" s="24">
        <v>0</v>
      </c>
      <c r="J124" s="24">
        <v>2</v>
      </c>
      <c r="K124" s="24" t="s">
        <v>449</v>
      </c>
    </row>
    <row r="125" spans="1:11">
      <c r="A125" s="24">
        <v>89</v>
      </c>
      <c r="B125" s="24">
        <v>3</v>
      </c>
      <c r="C125" s="24">
        <v>2</v>
      </c>
      <c r="D125" s="24">
        <v>5</v>
      </c>
      <c r="E125" s="24">
        <v>2</v>
      </c>
      <c r="F125" s="24">
        <v>0</v>
      </c>
      <c r="G125" s="24">
        <v>1</v>
      </c>
      <c r="H125" s="24">
        <v>0</v>
      </c>
      <c r="I125" s="24">
        <v>0</v>
      </c>
      <c r="J125" s="24">
        <v>2</v>
      </c>
      <c r="K125" s="24" t="s">
        <v>449</v>
      </c>
    </row>
    <row r="126" spans="1:11">
      <c r="A126" s="24">
        <v>83</v>
      </c>
      <c r="B126" s="24">
        <v>3</v>
      </c>
      <c r="C126" s="24">
        <v>2</v>
      </c>
      <c r="D126" s="24">
        <v>5</v>
      </c>
      <c r="E126" s="24">
        <v>3</v>
      </c>
      <c r="F126" s="24">
        <v>0</v>
      </c>
      <c r="G126" s="24">
        <v>1</v>
      </c>
      <c r="H126" s="24">
        <v>0</v>
      </c>
      <c r="I126" s="24">
        <v>0</v>
      </c>
      <c r="J126" s="24">
        <v>2</v>
      </c>
      <c r="K126" s="24" t="s">
        <v>449</v>
      </c>
    </row>
    <row r="127" spans="1:11">
      <c r="A127" s="24">
        <v>89</v>
      </c>
      <c r="B127" s="24">
        <v>2</v>
      </c>
      <c r="C127" s="24">
        <v>2</v>
      </c>
      <c r="D127" s="24">
        <v>4</v>
      </c>
      <c r="E127" s="24">
        <v>1</v>
      </c>
      <c r="F127" s="24">
        <v>0</v>
      </c>
      <c r="G127" s="24">
        <v>1</v>
      </c>
      <c r="H127" s="24">
        <v>0</v>
      </c>
      <c r="I127" s="24">
        <v>0</v>
      </c>
      <c r="J127" s="24">
        <v>2</v>
      </c>
      <c r="K127" s="24" t="s">
        <v>449</v>
      </c>
    </row>
    <row r="128" spans="1:11">
      <c r="A128" s="24">
        <v>81</v>
      </c>
      <c r="B128" s="24">
        <v>2</v>
      </c>
      <c r="C128" s="24">
        <v>1</v>
      </c>
      <c r="D128" s="24">
        <v>5</v>
      </c>
      <c r="E128" s="24">
        <v>2</v>
      </c>
      <c r="F128" s="24">
        <v>0</v>
      </c>
      <c r="G128" s="24">
        <v>1</v>
      </c>
      <c r="H128" s="24">
        <v>0</v>
      </c>
      <c r="I128" s="24">
        <v>0</v>
      </c>
      <c r="J128" s="24">
        <v>2</v>
      </c>
      <c r="K128" s="24" t="s">
        <v>449</v>
      </c>
    </row>
    <row r="129" spans="1:11">
      <c r="A129" s="24">
        <v>75</v>
      </c>
      <c r="B129" s="24">
        <v>1</v>
      </c>
      <c r="C129" s="24">
        <v>2</v>
      </c>
      <c r="D129" s="24">
        <v>5</v>
      </c>
      <c r="E129" s="24">
        <v>1</v>
      </c>
      <c r="F129" s="24">
        <v>0</v>
      </c>
      <c r="G129" s="24">
        <v>1</v>
      </c>
      <c r="H129" s="24">
        <v>0</v>
      </c>
      <c r="I129" s="24">
        <v>0</v>
      </c>
      <c r="J129" s="24">
        <v>2</v>
      </c>
      <c r="K129" s="24" t="s">
        <v>449</v>
      </c>
    </row>
    <row r="130" spans="1:11">
      <c r="A130" s="24">
        <v>84</v>
      </c>
      <c r="B130" s="24">
        <v>1</v>
      </c>
      <c r="C130" s="24">
        <v>1</v>
      </c>
      <c r="D130" s="24">
        <v>4</v>
      </c>
      <c r="E130" s="24">
        <v>3</v>
      </c>
      <c r="F130" s="24">
        <v>0</v>
      </c>
      <c r="G130" s="24">
        <v>1</v>
      </c>
      <c r="H130" s="24">
        <v>0</v>
      </c>
      <c r="I130" s="24">
        <v>0</v>
      </c>
      <c r="J130" s="24">
        <v>2</v>
      </c>
      <c r="K130" s="24" t="s">
        <v>449</v>
      </c>
    </row>
    <row r="131" spans="1:11">
      <c r="A131" s="24">
        <v>77</v>
      </c>
      <c r="B131" s="24">
        <v>1</v>
      </c>
      <c r="C131" s="24">
        <v>2</v>
      </c>
      <c r="D131" s="24">
        <v>4</v>
      </c>
      <c r="E131" s="24">
        <v>1</v>
      </c>
      <c r="F131" s="24">
        <v>0</v>
      </c>
      <c r="G131" s="24">
        <v>1</v>
      </c>
      <c r="H131" s="24">
        <v>0</v>
      </c>
      <c r="I131" s="24">
        <v>0</v>
      </c>
      <c r="J131" s="24">
        <v>2</v>
      </c>
      <c r="K131" s="24" t="s">
        <v>449</v>
      </c>
    </row>
    <row r="132" spans="1:11">
      <c r="A132" s="24">
        <v>76</v>
      </c>
      <c r="B132" s="24">
        <v>1</v>
      </c>
      <c r="C132" s="24">
        <v>1</v>
      </c>
      <c r="D132" s="24">
        <v>5</v>
      </c>
      <c r="E132" s="24">
        <v>3</v>
      </c>
      <c r="F132" s="24">
        <v>0</v>
      </c>
      <c r="G132" s="24">
        <v>1</v>
      </c>
      <c r="H132" s="24">
        <v>0</v>
      </c>
      <c r="I132" s="24">
        <v>0</v>
      </c>
      <c r="J132" s="24">
        <v>2</v>
      </c>
      <c r="K132" s="24" t="s">
        <v>449</v>
      </c>
    </row>
    <row r="133" spans="1:11">
      <c r="A133" s="24">
        <v>76</v>
      </c>
      <c r="B133" s="24">
        <v>3</v>
      </c>
      <c r="C133" s="24">
        <v>2</v>
      </c>
      <c r="D133" s="24">
        <v>4</v>
      </c>
      <c r="E133" s="24">
        <v>2</v>
      </c>
      <c r="F133" s="24">
        <v>0</v>
      </c>
      <c r="G133" s="24">
        <v>1</v>
      </c>
      <c r="H133" s="24">
        <v>0</v>
      </c>
      <c r="I133" s="24">
        <v>0</v>
      </c>
      <c r="J133" s="24">
        <v>2</v>
      </c>
      <c r="K133" s="24" t="s">
        <v>449</v>
      </c>
    </row>
    <row r="134" spans="1:11">
      <c r="A134" s="24">
        <v>83</v>
      </c>
      <c r="B134" s="24">
        <v>2</v>
      </c>
      <c r="C134" s="24">
        <v>2</v>
      </c>
      <c r="D134" s="24">
        <v>4</v>
      </c>
      <c r="E134" s="24">
        <v>2</v>
      </c>
      <c r="F134" s="24">
        <v>0</v>
      </c>
      <c r="G134" s="24">
        <v>1</v>
      </c>
      <c r="H134" s="24">
        <v>0</v>
      </c>
      <c r="I134" s="24">
        <v>0</v>
      </c>
      <c r="J134" s="24">
        <v>2</v>
      </c>
      <c r="K134" s="24" t="s">
        <v>449</v>
      </c>
    </row>
    <row r="135" spans="1:11">
      <c r="A135" s="24">
        <v>80</v>
      </c>
      <c r="B135" s="24">
        <v>2</v>
      </c>
      <c r="C135" s="24">
        <v>1</v>
      </c>
      <c r="D135" s="24">
        <v>4</v>
      </c>
      <c r="E135" s="24">
        <v>1</v>
      </c>
      <c r="F135" s="24">
        <v>0</v>
      </c>
      <c r="G135" s="24">
        <v>1</v>
      </c>
      <c r="H135" s="24">
        <v>0</v>
      </c>
      <c r="I135" s="24">
        <v>0</v>
      </c>
      <c r="J135" s="24">
        <v>2</v>
      </c>
      <c r="K135" s="24" t="s">
        <v>449</v>
      </c>
    </row>
    <row r="136" spans="1:11">
      <c r="A136" s="24">
        <v>83</v>
      </c>
      <c r="B136" s="24">
        <v>3</v>
      </c>
      <c r="C136" s="24">
        <v>2</v>
      </c>
      <c r="D136" s="24">
        <v>5</v>
      </c>
      <c r="E136" s="24">
        <v>1</v>
      </c>
      <c r="F136" s="24">
        <v>0</v>
      </c>
      <c r="G136" s="24">
        <v>1</v>
      </c>
      <c r="H136" s="24">
        <v>0</v>
      </c>
      <c r="I136" s="24">
        <v>0</v>
      </c>
      <c r="J136" s="24">
        <v>2</v>
      </c>
      <c r="K136" s="24" t="s">
        <v>449</v>
      </c>
    </row>
    <row r="137" spans="1:11">
      <c r="A137" s="24">
        <v>73</v>
      </c>
      <c r="B137" s="24">
        <v>3</v>
      </c>
      <c r="C137" s="24">
        <v>1</v>
      </c>
      <c r="D137" s="24">
        <v>4</v>
      </c>
      <c r="E137" s="24">
        <v>3</v>
      </c>
      <c r="F137" s="24">
        <v>0</v>
      </c>
      <c r="G137" s="24">
        <v>1</v>
      </c>
      <c r="H137" s="24">
        <v>0</v>
      </c>
      <c r="I137" s="24">
        <v>0</v>
      </c>
      <c r="J137" s="24">
        <v>2</v>
      </c>
      <c r="K137" s="24" t="s">
        <v>449</v>
      </c>
    </row>
    <row r="138" spans="1:11">
      <c r="A138" s="24">
        <v>83</v>
      </c>
      <c r="B138" s="24">
        <v>2</v>
      </c>
      <c r="C138" s="24">
        <v>1</v>
      </c>
      <c r="D138" s="24">
        <v>4</v>
      </c>
      <c r="E138" s="24">
        <v>2</v>
      </c>
      <c r="F138" s="24">
        <v>0</v>
      </c>
      <c r="G138" s="24">
        <v>1</v>
      </c>
      <c r="H138" s="24">
        <v>0</v>
      </c>
      <c r="I138" s="24">
        <v>0</v>
      </c>
      <c r="J138" s="24">
        <v>2</v>
      </c>
      <c r="K138" s="24" t="s">
        <v>449</v>
      </c>
    </row>
    <row r="139" spans="1:11">
      <c r="A139" s="24">
        <v>76</v>
      </c>
      <c r="B139" s="24">
        <v>3</v>
      </c>
      <c r="C139" s="24">
        <v>1</v>
      </c>
      <c r="D139" s="24">
        <v>5</v>
      </c>
      <c r="E139" s="24">
        <v>3</v>
      </c>
      <c r="F139" s="24">
        <v>0</v>
      </c>
      <c r="G139" s="24">
        <v>1</v>
      </c>
      <c r="H139" s="24">
        <v>0</v>
      </c>
      <c r="I139" s="24">
        <v>0</v>
      </c>
      <c r="J139" s="24">
        <v>2</v>
      </c>
      <c r="K139" s="24" t="s">
        <v>449</v>
      </c>
    </row>
    <row r="140" spans="1:11">
      <c r="A140" s="24">
        <v>88</v>
      </c>
      <c r="B140" s="24">
        <v>1</v>
      </c>
      <c r="C140" s="24">
        <v>1</v>
      </c>
      <c r="D140" s="24">
        <v>4</v>
      </c>
      <c r="E140" s="24">
        <v>2</v>
      </c>
      <c r="F140" s="24">
        <v>0</v>
      </c>
      <c r="G140" s="24">
        <v>1</v>
      </c>
      <c r="H140" s="24">
        <v>0</v>
      </c>
      <c r="I140" s="24">
        <v>0</v>
      </c>
      <c r="J140" s="24">
        <v>2</v>
      </c>
      <c r="K140" s="24" t="s">
        <v>449</v>
      </c>
    </row>
    <row r="141" spans="1:11">
      <c r="A141" s="24">
        <v>73</v>
      </c>
      <c r="B141" s="24">
        <v>2</v>
      </c>
      <c r="C141" s="24">
        <v>1</v>
      </c>
      <c r="D141" s="24">
        <v>4</v>
      </c>
      <c r="E141" s="24">
        <v>3</v>
      </c>
      <c r="F141" s="24">
        <v>0</v>
      </c>
      <c r="G141" s="24">
        <v>1</v>
      </c>
      <c r="H141" s="24">
        <v>0</v>
      </c>
      <c r="I141" s="24">
        <v>0</v>
      </c>
      <c r="J141" s="24">
        <v>2</v>
      </c>
      <c r="K141" s="24" t="s">
        <v>449</v>
      </c>
    </row>
    <row r="142" spans="1:11">
      <c r="A142" s="24">
        <v>78</v>
      </c>
      <c r="B142" s="24">
        <v>1</v>
      </c>
      <c r="C142" s="24">
        <v>1</v>
      </c>
      <c r="D142" s="24">
        <v>5</v>
      </c>
      <c r="E142" s="24">
        <v>2</v>
      </c>
      <c r="F142" s="24">
        <v>0</v>
      </c>
      <c r="G142" s="24">
        <v>1</v>
      </c>
      <c r="H142" s="24">
        <v>0</v>
      </c>
      <c r="I142" s="24">
        <v>0</v>
      </c>
      <c r="J142" s="24">
        <v>2</v>
      </c>
      <c r="K142" s="24" t="s">
        <v>449</v>
      </c>
    </row>
    <row r="143" spans="1:11">
      <c r="A143" s="24">
        <v>69</v>
      </c>
      <c r="B143" s="24">
        <v>1</v>
      </c>
      <c r="C143" s="24">
        <v>1</v>
      </c>
      <c r="D143" s="24">
        <v>4</v>
      </c>
      <c r="E143" s="24">
        <v>3</v>
      </c>
      <c r="F143" s="24">
        <v>0</v>
      </c>
      <c r="G143" s="24">
        <v>1</v>
      </c>
      <c r="H143" s="24">
        <v>0</v>
      </c>
      <c r="I143" s="24">
        <v>0</v>
      </c>
      <c r="J143" s="24">
        <v>2</v>
      </c>
      <c r="K143" s="24" t="s">
        <v>449</v>
      </c>
    </row>
    <row r="144" spans="1:11">
      <c r="A144" s="24">
        <v>80</v>
      </c>
      <c r="B144" s="24">
        <v>3</v>
      </c>
      <c r="C144" s="24">
        <v>1</v>
      </c>
      <c r="D144" s="24">
        <v>5</v>
      </c>
      <c r="E144" s="24">
        <v>2</v>
      </c>
      <c r="F144" s="24">
        <v>0</v>
      </c>
      <c r="G144" s="24">
        <v>1</v>
      </c>
      <c r="H144" s="24">
        <v>0</v>
      </c>
      <c r="I144" s="24">
        <v>0</v>
      </c>
      <c r="J144" s="24">
        <v>2</v>
      </c>
      <c r="K144" s="24" t="s">
        <v>449</v>
      </c>
    </row>
    <row r="145" spans="1:11">
      <c r="A145" s="24">
        <v>81</v>
      </c>
      <c r="B145" s="24">
        <v>2</v>
      </c>
      <c r="C145" s="24">
        <v>2</v>
      </c>
      <c r="D145" s="24">
        <v>4</v>
      </c>
      <c r="E145" s="24">
        <v>2</v>
      </c>
      <c r="F145" s="24">
        <v>0</v>
      </c>
      <c r="G145" s="24">
        <v>1</v>
      </c>
      <c r="H145" s="24">
        <v>0</v>
      </c>
      <c r="I145" s="24">
        <v>0</v>
      </c>
      <c r="J145" s="24">
        <v>2</v>
      </c>
      <c r="K145" s="24" t="s">
        <v>449</v>
      </c>
    </row>
    <row r="146" spans="1:11">
      <c r="A146" s="24">
        <v>86</v>
      </c>
      <c r="B146" s="24">
        <v>2</v>
      </c>
      <c r="C146" s="24">
        <v>2</v>
      </c>
      <c r="D146" s="24">
        <v>4</v>
      </c>
      <c r="E146" s="24">
        <v>2</v>
      </c>
      <c r="F146" s="24">
        <v>0</v>
      </c>
      <c r="G146" s="24">
        <v>1</v>
      </c>
      <c r="H146" s="24">
        <v>0</v>
      </c>
      <c r="I146" s="24">
        <v>0</v>
      </c>
      <c r="J146" s="24">
        <v>2</v>
      </c>
      <c r="K146" s="24" t="s">
        <v>449</v>
      </c>
    </row>
    <row r="147" spans="1:11">
      <c r="A147" s="24">
        <v>78</v>
      </c>
      <c r="B147" s="24">
        <v>3</v>
      </c>
      <c r="C147" s="24">
        <v>2</v>
      </c>
      <c r="D147" s="24">
        <v>4</v>
      </c>
      <c r="E147" s="24">
        <v>1</v>
      </c>
      <c r="F147" s="24">
        <v>0</v>
      </c>
      <c r="G147" s="24">
        <v>1</v>
      </c>
      <c r="H147" s="24">
        <v>0</v>
      </c>
      <c r="I147" s="24">
        <v>0</v>
      </c>
      <c r="J147" s="24">
        <v>2</v>
      </c>
      <c r="K147" s="24" t="s">
        <v>449</v>
      </c>
    </row>
    <row r="148" spans="1:11">
      <c r="A148" s="24">
        <v>78</v>
      </c>
      <c r="B148" s="24">
        <v>2</v>
      </c>
      <c r="C148" s="24">
        <v>1</v>
      </c>
      <c r="D148" s="24">
        <v>4</v>
      </c>
      <c r="E148" s="24">
        <v>1</v>
      </c>
      <c r="F148" s="24">
        <v>0</v>
      </c>
      <c r="G148" s="24">
        <v>1</v>
      </c>
      <c r="H148" s="24">
        <v>0</v>
      </c>
      <c r="I148" s="24">
        <v>0</v>
      </c>
      <c r="J148" s="24">
        <v>2</v>
      </c>
      <c r="K148" s="24" t="s">
        <v>449</v>
      </c>
    </row>
    <row r="149" spans="1:11">
      <c r="A149" s="24">
        <v>75</v>
      </c>
      <c r="B149" s="24">
        <v>1</v>
      </c>
      <c r="C149" s="24">
        <v>2</v>
      </c>
      <c r="D149" s="24">
        <v>5</v>
      </c>
      <c r="E149" s="24">
        <v>2</v>
      </c>
      <c r="F149" s="24">
        <v>0</v>
      </c>
      <c r="G149" s="24">
        <v>1</v>
      </c>
      <c r="H149" s="24">
        <v>0</v>
      </c>
      <c r="I149" s="24">
        <v>0</v>
      </c>
      <c r="J149" s="24">
        <v>2</v>
      </c>
      <c r="K149" s="24" t="s">
        <v>449</v>
      </c>
    </row>
    <row r="150" spans="1:11">
      <c r="A150" s="24">
        <v>65</v>
      </c>
      <c r="B150" s="24">
        <v>1</v>
      </c>
      <c r="C150" s="24">
        <v>1</v>
      </c>
      <c r="D150" s="24">
        <v>4</v>
      </c>
      <c r="E150" s="24">
        <v>2</v>
      </c>
      <c r="F150" s="24">
        <v>0</v>
      </c>
      <c r="G150" s="24">
        <v>1</v>
      </c>
      <c r="H150" s="24">
        <v>0</v>
      </c>
      <c r="I150" s="24">
        <v>0</v>
      </c>
      <c r="J150" s="24">
        <v>2</v>
      </c>
      <c r="K150" s="24" t="s">
        <v>449</v>
      </c>
    </row>
    <row r="151" spans="1:11">
      <c r="A151" s="24">
        <v>77</v>
      </c>
      <c r="B151" s="24">
        <v>2</v>
      </c>
      <c r="C151" s="24">
        <v>1</v>
      </c>
      <c r="D151" s="24">
        <v>4</v>
      </c>
      <c r="E151" s="24">
        <v>1</v>
      </c>
      <c r="F151" s="24">
        <v>0</v>
      </c>
      <c r="G151" s="24">
        <v>1</v>
      </c>
      <c r="H151" s="24">
        <v>0</v>
      </c>
      <c r="I151" s="24">
        <v>0</v>
      </c>
      <c r="J151" s="24">
        <v>2</v>
      </c>
      <c r="K151" s="24" t="s">
        <v>449</v>
      </c>
    </row>
    <row r="152" spans="1:11">
      <c r="A152" s="24">
        <v>70</v>
      </c>
      <c r="B152" s="24">
        <v>3</v>
      </c>
      <c r="C152" s="24">
        <v>2</v>
      </c>
      <c r="D152" s="24">
        <v>4</v>
      </c>
      <c r="E152" s="24">
        <v>3</v>
      </c>
      <c r="F152" s="24">
        <v>0</v>
      </c>
      <c r="G152" s="24">
        <v>1</v>
      </c>
      <c r="H152" s="24">
        <v>0</v>
      </c>
      <c r="I152" s="24">
        <v>0</v>
      </c>
      <c r="J152" s="24">
        <v>2</v>
      </c>
      <c r="K152" s="24" t="s">
        <v>449</v>
      </c>
    </row>
    <row r="153" spans="1:11">
      <c r="A153" s="24">
        <v>74</v>
      </c>
      <c r="B153" s="24">
        <v>3</v>
      </c>
      <c r="C153" s="24">
        <v>1</v>
      </c>
      <c r="D153" s="24">
        <v>5</v>
      </c>
      <c r="E153" s="24">
        <v>2</v>
      </c>
      <c r="F153" s="24">
        <v>0</v>
      </c>
      <c r="G153" s="24">
        <v>1</v>
      </c>
      <c r="H153" s="24">
        <v>0</v>
      </c>
      <c r="I153" s="24">
        <v>0</v>
      </c>
      <c r="J153" s="24">
        <v>2</v>
      </c>
      <c r="K153" s="24" t="s">
        <v>449</v>
      </c>
    </row>
    <row r="154" spans="1:11">
      <c r="A154" s="24">
        <v>77</v>
      </c>
      <c r="B154" s="24">
        <v>2</v>
      </c>
      <c r="C154" s="24">
        <v>1</v>
      </c>
      <c r="D154" s="24">
        <v>4</v>
      </c>
      <c r="E154" s="24">
        <v>3</v>
      </c>
      <c r="F154" s="24">
        <v>0</v>
      </c>
      <c r="G154" s="24">
        <v>1</v>
      </c>
      <c r="H154" s="24">
        <v>0</v>
      </c>
      <c r="I154" s="24">
        <v>0</v>
      </c>
      <c r="J154" s="24">
        <v>2</v>
      </c>
      <c r="K154" s="24" t="s">
        <v>449</v>
      </c>
    </row>
    <row r="155" spans="1:11">
      <c r="A155" s="24">
        <v>74</v>
      </c>
      <c r="B155" s="24">
        <v>1</v>
      </c>
      <c r="C155" s="24">
        <v>2</v>
      </c>
      <c r="D155" s="24">
        <v>5</v>
      </c>
      <c r="E155" s="24">
        <v>2</v>
      </c>
      <c r="F155" s="24">
        <v>0</v>
      </c>
      <c r="G155" s="24">
        <v>1</v>
      </c>
      <c r="H155" s="24">
        <v>0</v>
      </c>
      <c r="I155" s="24">
        <v>0</v>
      </c>
      <c r="J155" s="24">
        <v>2</v>
      </c>
      <c r="K155" s="24" t="s">
        <v>449</v>
      </c>
    </row>
    <row r="156" spans="1:11">
      <c r="A156" s="24">
        <v>90</v>
      </c>
      <c r="B156" s="24">
        <v>3</v>
      </c>
      <c r="C156" s="24">
        <v>1</v>
      </c>
      <c r="D156" s="24">
        <v>4</v>
      </c>
      <c r="E156" s="24">
        <v>1</v>
      </c>
      <c r="F156" s="24">
        <v>0</v>
      </c>
      <c r="G156" s="24">
        <v>1</v>
      </c>
      <c r="H156" s="24">
        <v>0</v>
      </c>
      <c r="I156" s="24">
        <v>0</v>
      </c>
      <c r="J156" s="24">
        <v>2</v>
      </c>
      <c r="K156" s="24" t="s">
        <v>449</v>
      </c>
    </row>
    <row r="157" spans="1:11">
      <c r="A157" s="24">
        <v>76</v>
      </c>
      <c r="B157" s="24">
        <v>1</v>
      </c>
      <c r="C157" s="24">
        <v>1</v>
      </c>
      <c r="D157" s="24">
        <v>4</v>
      </c>
      <c r="E157" s="24">
        <v>3</v>
      </c>
      <c r="F157" s="24">
        <v>0</v>
      </c>
      <c r="G157" s="24">
        <v>1</v>
      </c>
      <c r="H157" s="24">
        <v>0</v>
      </c>
      <c r="I157" s="24">
        <v>0</v>
      </c>
      <c r="J157" s="24">
        <v>2</v>
      </c>
      <c r="K157" s="24" t="s">
        <v>449</v>
      </c>
    </row>
    <row r="158" spans="1:11">
      <c r="A158" s="24">
        <v>83</v>
      </c>
      <c r="B158" s="24">
        <v>2</v>
      </c>
      <c r="C158" s="24">
        <v>2</v>
      </c>
      <c r="D158" s="24">
        <v>5</v>
      </c>
      <c r="E158" s="24">
        <v>1</v>
      </c>
      <c r="F158" s="24">
        <v>0</v>
      </c>
      <c r="G158" s="24">
        <v>1</v>
      </c>
      <c r="H158" s="24">
        <v>0</v>
      </c>
      <c r="I158" s="24">
        <v>0</v>
      </c>
      <c r="J158" s="24">
        <v>2</v>
      </c>
      <c r="K158" s="24" t="s">
        <v>449</v>
      </c>
    </row>
    <row r="159" spans="1:11">
      <c r="A159" s="24">
        <v>90</v>
      </c>
      <c r="B159" s="24">
        <v>1</v>
      </c>
      <c r="C159" s="24">
        <v>1</v>
      </c>
      <c r="D159" s="24">
        <v>5</v>
      </c>
      <c r="E159" s="24">
        <v>1</v>
      </c>
      <c r="F159" s="24">
        <v>0</v>
      </c>
      <c r="G159" s="24">
        <v>1</v>
      </c>
      <c r="H159" s="24">
        <v>0</v>
      </c>
      <c r="I159" s="24">
        <v>0</v>
      </c>
      <c r="J159" s="24">
        <v>2</v>
      </c>
      <c r="K159" s="24" t="s">
        <v>449</v>
      </c>
    </row>
    <row r="160" spans="1:11">
      <c r="A160" s="24">
        <v>77</v>
      </c>
      <c r="B160" s="24">
        <v>2</v>
      </c>
      <c r="C160" s="24">
        <v>1</v>
      </c>
      <c r="D160" s="24">
        <v>4</v>
      </c>
      <c r="E160" s="24">
        <v>3</v>
      </c>
      <c r="F160" s="24">
        <v>0</v>
      </c>
      <c r="G160" s="24">
        <v>1</v>
      </c>
      <c r="H160" s="24">
        <v>0</v>
      </c>
      <c r="I160" s="24">
        <v>0</v>
      </c>
      <c r="J160" s="24">
        <v>2</v>
      </c>
      <c r="K160" s="24" t="s">
        <v>449</v>
      </c>
    </row>
    <row r="161" spans="1:11">
      <c r="A161" s="24">
        <v>69</v>
      </c>
      <c r="B161" s="24">
        <v>2</v>
      </c>
      <c r="C161" s="24">
        <v>2</v>
      </c>
      <c r="D161" s="24">
        <v>5</v>
      </c>
      <c r="E161" s="24">
        <v>1</v>
      </c>
      <c r="F161" s="24">
        <v>0</v>
      </c>
      <c r="G161" s="24">
        <v>1</v>
      </c>
      <c r="H161" s="24">
        <v>0</v>
      </c>
      <c r="I161" s="24">
        <v>0</v>
      </c>
      <c r="J161" s="24">
        <v>2</v>
      </c>
      <c r="K161" s="24" t="s">
        <v>449</v>
      </c>
    </row>
    <row r="162" spans="1:11">
      <c r="A162" s="24">
        <v>68</v>
      </c>
      <c r="B162" s="24">
        <v>3</v>
      </c>
      <c r="C162" s="24">
        <v>2</v>
      </c>
      <c r="D162" s="24">
        <v>5</v>
      </c>
      <c r="E162" s="24">
        <v>2</v>
      </c>
      <c r="F162" s="24">
        <v>0</v>
      </c>
      <c r="G162" s="24">
        <v>1</v>
      </c>
      <c r="H162" s="24">
        <v>0</v>
      </c>
      <c r="I162" s="24">
        <v>0</v>
      </c>
      <c r="J162" s="24">
        <v>2</v>
      </c>
      <c r="K162" s="24" t="s">
        <v>449</v>
      </c>
    </row>
    <row r="163" spans="1:11">
      <c r="A163" s="24">
        <v>69</v>
      </c>
      <c r="B163" s="24">
        <v>2</v>
      </c>
      <c r="C163" s="24">
        <v>1</v>
      </c>
      <c r="D163" s="24">
        <v>4</v>
      </c>
      <c r="E163" s="24">
        <v>1</v>
      </c>
      <c r="F163" s="24">
        <v>0</v>
      </c>
      <c r="G163" s="24">
        <v>1</v>
      </c>
      <c r="H163" s="24">
        <v>0</v>
      </c>
      <c r="I163" s="24">
        <v>0</v>
      </c>
      <c r="J163" s="24">
        <v>2</v>
      </c>
      <c r="K163" s="24" t="s">
        <v>449</v>
      </c>
    </row>
    <row r="164" spans="1:11">
      <c r="A164" s="24">
        <v>77</v>
      </c>
      <c r="B164" s="24">
        <v>2</v>
      </c>
      <c r="C164" s="24">
        <v>2</v>
      </c>
      <c r="D164" s="24">
        <v>5</v>
      </c>
      <c r="E164" s="24">
        <v>3</v>
      </c>
      <c r="F164" s="24">
        <v>0</v>
      </c>
      <c r="G164" s="24">
        <v>1</v>
      </c>
      <c r="H164" s="24">
        <v>0</v>
      </c>
      <c r="I164" s="24">
        <v>0</v>
      </c>
      <c r="J164" s="24">
        <v>2</v>
      </c>
      <c r="K164" s="24" t="s">
        <v>449</v>
      </c>
    </row>
    <row r="165" spans="1:11">
      <c r="A165" s="24">
        <v>80</v>
      </c>
      <c r="B165" s="24">
        <v>1</v>
      </c>
      <c r="C165" s="24">
        <v>2</v>
      </c>
      <c r="D165" s="24">
        <v>4</v>
      </c>
      <c r="E165" s="24">
        <v>3</v>
      </c>
      <c r="F165" s="24">
        <v>0</v>
      </c>
      <c r="G165" s="24">
        <v>1</v>
      </c>
      <c r="H165" s="24">
        <v>0</v>
      </c>
      <c r="I165" s="24">
        <v>0</v>
      </c>
      <c r="J165" s="24">
        <v>2</v>
      </c>
      <c r="K165" s="24" t="s">
        <v>449</v>
      </c>
    </row>
    <row r="166" spans="1:11">
      <c r="A166" s="24">
        <v>66</v>
      </c>
      <c r="B166" s="24">
        <v>3</v>
      </c>
      <c r="C166" s="24">
        <v>1</v>
      </c>
      <c r="D166" s="24">
        <v>4</v>
      </c>
      <c r="E166" s="24">
        <v>2</v>
      </c>
      <c r="F166" s="24">
        <v>0</v>
      </c>
      <c r="G166" s="24">
        <v>1</v>
      </c>
      <c r="H166" s="24">
        <v>0</v>
      </c>
      <c r="I166" s="24">
        <v>0</v>
      </c>
      <c r="J166" s="24">
        <v>2</v>
      </c>
      <c r="K166" s="24" t="s">
        <v>449</v>
      </c>
    </row>
    <row r="167" spans="1:11">
      <c r="A167" s="24">
        <v>70</v>
      </c>
      <c r="B167" s="24">
        <v>2</v>
      </c>
      <c r="C167" s="24">
        <v>1</v>
      </c>
      <c r="D167" s="24">
        <v>5</v>
      </c>
      <c r="E167" s="24">
        <v>3</v>
      </c>
      <c r="F167" s="24">
        <v>0</v>
      </c>
      <c r="G167" s="24">
        <v>1</v>
      </c>
      <c r="H167" s="24">
        <v>0</v>
      </c>
      <c r="I167" s="24">
        <v>0</v>
      </c>
      <c r="J167" s="24">
        <v>2</v>
      </c>
      <c r="K167" s="24" t="s">
        <v>449</v>
      </c>
    </row>
    <row r="168" spans="1:11">
      <c r="A168" s="24">
        <v>79</v>
      </c>
      <c r="B168" s="24">
        <v>1</v>
      </c>
      <c r="C168" s="24">
        <v>1</v>
      </c>
      <c r="D168" s="24">
        <v>4</v>
      </c>
      <c r="E168" s="24">
        <v>1</v>
      </c>
      <c r="F168" s="24">
        <v>0</v>
      </c>
      <c r="G168" s="24">
        <v>1</v>
      </c>
      <c r="H168" s="24">
        <v>0</v>
      </c>
      <c r="I168" s="24">
        <v>0</v>
      </c>
      <c r="J168" s="24">
        <v>2</v>
      </c>
      <c r="K168" s="24" t="s">
        <v>449</v>
      </c>
    </row>
    <row r="169" spans="1:11">
      <c r="A169" s="24">
        <v>85</v>
      </c>
      <c r="B169" s="24">
        <v>3</v>
      </c>
      <c r="C169" s="24">
        <v>2</v>
      </c>
      <c r="D169" s="24">
        <v>4</v>
      </c>
      <c r="E169" s="24">
        <v>3</v>
      </c>
      <c r="F169" s="24">
        <v>0</v>
      </c>
      <c r="G169" s="24">
        <v>1</v>
      </c>
      <c r="H169" s="24">
        <v>0</v>
      </c>
      <c r="I169" s="24">
        <v>0</v>
      </c>
      <c r="J169" s="24">
        <v>2</v>
      </c>
      <c r="K169" s="24" t="s">
        <v>449</v>
      </c>
    </row>
    <row r="170" spans="1:11">
      <c r="A170" s="24">
        <v>65</v>
      </c>
      <c r="B170" s="24">
        <v>2</v>
      </c>
      <c r="C170" s="24">
        <v>1</v>
      </c>
      <c r="D170" s="24">
        <v>4</v>
      </c>
      <c r="E170" s="24">
        <v>1</v>
      </c>
      <c r="F170" s="24">
        <v>0</v>
      </c>
      <c r="G170" s="24">
        <v>1</v>
      </c>
      <c r="H170" s="24">
        <v>0</v>
      </c>
      <c r="I170" s="24">
        <v>0</v>
      </c>
      <c r="J170" s="24">
        <v>2</v>
      </c>
      <c r="K170" s="24" t="s">
        <v>449</v>
      </c>
    </row>
    <row r="171" spans="1:11">
      <c r="A171" s="24">
        <v>69</v>
      </c>
      <c r="B171" s="24">
        <v>1</v>
      </c>
      <c r="C171" s="24">
        <v>1</v>
      </c>
      <c r="D171" s="24">
        <v>4</v>
      </c>
      <c r="E171" s="24">
        <v>3</v>
      </c>
      <c r="F171" s="24">
        <v>0</v>
      </c>
      <c r="G171" s="24">
        <v>1</v>
      </c>
      <c r="H171" s="24">
        <v>0</v>
      </c>
      <c r="I171" s="24">
        <v>0</v>
      </c>
      <c r="J171" s="24">
        <v>2</v>
      </c>
      <c r="K171" s="24" t="s">
        <v>449</v>
      </c>
    </row>
    <row r="172" spans="1:11">
      <c r="A172" s="24">
        <v>89</v>
      </c>
      <c r="B172" s="24">
        <v>1</v>
      </c>
      <c r="C172" s="24">
        <v>1</v>
      </c>
      <c r="D172" s="24">
        <v>5</v>
      </c>
      <c r="E172" s="24">
        <v>1</v>
      </c>
      <c r="F172" s="24">
        <v>0</v>
      </c>
      <c r="G172" s="24">
        <v>1</v>
      </c>
      <c r="H172" s="24">
        <v>0</v>
      </c>
      <c r="I172" s="24">
        <v>0</v>
      </c>
      <c r="J172" s="24">
        <v>2</v>
      </c>
      <c r="K172" s="24" t="s">
        <v>449</v>
      </c>
    </row>
    <row r="173" spans="1:11">
      <c r="A173" s="24">
        <v>80</v>
      </c>
      <c r="B173" s="24">
        <v>2</v>
      </c>
      <c r="C173" s="24">
        <v>1</v>
      </c>
      <c r="D173" s="24">
        <v>4</v>
      </c>
      <c r="E173" s="24">
        <v>2</v>
      </c>
      <c r="F173" s="24">
        <v>0</v>
      </c>
      <c r="G173" s="24">
        <v>1</v>
      </c>
      <c r="H173" s="24">
        <v>0</v>
      </c>
      <c r="I173" s="24">
        <v>0</v>
      </c>
      <c r="J173" s="24">
        <v>2</v>
      </c>
      <c r="K173" s="24" t="s">
        <v>449</v>
      </c>
    </row>
    <row r="174" spans="1:11">
      <c r="A174" s="24">
        <v>67</v>
      </c>
      <c r="B174" s="24">
        <v>1</v>
      </c>
      <c r="C174" s="24">
        <v>2</v>
      </c>
      <c r="D174" s="24">
        <v>5</v>
      </c>
      <c r="E174" s="24">
        <v>1</v>
      </c>
      <c r="F174" s="24">
        <v>0</v>
      </c>
      <c r="G174" s="24">
        <v>1</v>
      </c>
      <c r="H174" s="24">
        <v>0</v>
      </c>
      <c r="I174" s="24">
        <v>0</v>
      </c>
      <c r="J174" s="24">
        <v>2</v>
      </c>
      <c r="K174" s="24" t="s">
        <v>449</v>
      </c>
    </row>
    <row r="175" spans="1:11">
      <c r="A175" s="24">
        <v>86</v>
      </c>
      <c r="B175" s="24">
        <v>2</v>
      </c>
      <c r="C175" s="24">
        <v>1</v>
      </c>
      <c r="D175" s="24">
        <v>4</v>
      </c>
      <c r="E175" s="24">
        <v>1</v>
      </c>
      <c r="F175" s="24">
        <v>0</v>
      </c>
      <c r="G175" s="24">
        <v>1</v>
      </c>
      <c r="H175" s="24">
        <v>0</v>
      </c>
      <c r="I175" s="24">
        <v>0</v>
      </c>
      <c r="J175" s="24">
        <v>2</v>
      </c>
      <c r="K175" s="24" t="s">
        <v>449</v>
      </c>
    </row>
    <row r="176" spans="1:11">
      <c r="A176" s="24">
        <v>82</v>
      </c>
      <c r="B176" s="24">
        <v>3</v>
      </c>
      <c r="C176" s="24">
        <v>1</v>
      </c>
      <c r="D176" s="24">
        <v>4</v>
      </c>
      <c r="E176" s="24">
        <v>3</v>
      </c>
      <c r="F176" s="24">
        <v>0</v>
      </c>
      <c r="G176" s="24">
        <v>1</v>
      </c>
      <c r="H176" s="24">
        <v>0</v>
      </c>
      <c r="I176" s="24">
        <v>0</v>
      </c>
      <c r="J176" s="24">
        <v>2</v>
      </c>
      <c r="K176" s="24" t="s">
        <v>449</v>
      </c>
    </row>
    <row r="177" spans="1:11">
      <c r="A177" s="24">
        <v>76</v>
      </c>
      <c r="B177" s="24">
        <v>1</v>
      </c>
      <c r="C177" s="24">
        <v>2</v>
      </c>
      <c r="D177" s="24">
        <v>5</v>
      </c>
      <c r="E177" s="24">
        <v>1</v>
      </c>
      <c r="F177" s="24">
        <v>0</v>
      </c>
      <c r="G177" s="24">
        <v>1</v>
      </c>
      <c r="H177" s="24">
        <v>0</v>
      </c>
      <c r="I177" s="24">
        <v>0</v>
      </c>
      <c r="J177" s="24">
        <v>2</v>
      </c>
      <c r="K177" s="24" t="s">
        <v>449</v>
      </c>
    </row>
    <row r="178" spans="1:11">
      <c r="A178" s="24">
        <v>75</v>
      </c>
      <c r="B178" s="24">
        <v>1</v>
      </c>
      <c r="C178" s="24">
        <v>1</v>
      </c>
      <c r="D178" s="24">
        <v>5</v>
      </c>
      <c r="E178" s="24">
        <v>3</v>
      </c>
      <c r="F178" s="24">
        <v>0</v>
      </c>
      <c r="G178" s="24">
        <v>1</v>
      </c>
      <c r="H178" s="24">
        <v>0</v>
      </c>
      <c r="I178" s="24">
        <v>0</v>
      </c>
      <c r="J178" s="24">
        <v>2</v>
      </c>
      <c r="K178" s="24" t="s">
        <v>449</v>
      </c>
    </row>
    <row r="179" spans="1:11">
      <c r="A179" s="24">
        <v>67</v>
      </c>
      <c r="B179" s="24">
        <v>2</v>
      </c>
      <c r="C179" s="24">
        <v>2</v>
      </c>
      <c r="D179" s="24">
        <v>4</v>
      </c>
      <c r="E179" s="24">
        <v>2</v>
      </c>
      <c r="F179" s="24">
        <v>0</v>
      </c>
      <c r="G179" s="24">
        <v>1</v>
      </c>
      <c r="H179" s="24">
        <v>0</v>
      </c>
      <c r="I179" s="24">
        <v>0</v>
      </c>
      <c r="J179" s="24">
        <v>2</v>
      </c>
      <c r="K179" s="24" t="s">
        <v>449</v>
      </c>
    </row>
    <row r="180" spans="1:11">
      <c r="A180" s="24">
        <v>75</v>
      </c>
      <c r="B180" s="24">
        <v>2</v>
      </c>
      <c r="C180" s="24">
        <v>1</v>
      </c>
      <c r="D180" s="24">
        <v>4</v>
      </c>
      <c r="E180" s="24">
        <v>2</v>
      </c>
      <c r="F180" s="24">
        <v>0</v>
      </c>
      <c r="G180" s="24">
        <v>1</v>
      </c>
      <c r="H180" s="24">
        <v>0</v>
      </c>
      <c r="I180" s="24">
        <v>0</v>
      </c>
      <c r="J180" s="24">
        <v>2</v>
      </c>
      <c r="K180" s="24" t="s">
        <v>449</v>
      </c>
    </row>
    <row r="181" spans="1:11">
      <c r="A181" s="24">
        <v>90</v>
      </c>
      <c r="B181" s="24">
        <v>2</v>
      </c>
      <c r="C181" s="24">
        <v>2</v>
      </c>
      <c r="D181" s="24">
        <v>4</v>
      </c>
      <c r="E181" s="24">
        <v>3</v>
      </c>
      <c r="F181" s="24">
        <v>0</v>
      </c>
      <c r="G181" s="24">
        <v>1</v>
      </c>
      <c r="H181" s="24">
        <v>0</v>
      </c>
      <c r="I181" s="24">
        <v>0</v>
      </c>
      <c r="J181" s="24">
        <v>2</v>
      </c>
      <c r="K181" s="24" t="s">
        <v>449</v>
      </c>
    </row>
    <row r="182" spans="1:11">
      <c r="A182" s="24">
        <v>84</v>
      </c>
      <c r="B182" s="24">
        <v>1</v>
      </c>
      <c r="C182" s="24">
        <v>2</v>
      </c>
      <c r="D182" s="24">
        <v>3</v>
      </c>
      <c r="E182" s="24">
        <v>4</v>
      </c>
      <c r="F182" s="24">
        <v>0</v>
      </c>
      <c r="G182" s="24">
        <v>0</v>
      </c>
      <c r="H182" s="24">
        <v>1</v>
      </c>
      <c r="I182" s="24">
        <v>0</v>
      </c>
      <c r="J182" s="24">
        <v>1</v>
      </c>
      <c r="K182" s="24" t="s">
        <v>450</v>
      </c>
    </row>
    <row r="183" spans="1:11">
      <c r="A183" s="24">
        <v>79</v>
      </c>
      <c r="B183" s="24">
        <v>1</v>
      </c>
      <c r="C183" s="24">
        <v>1</v>
      </c>
      <c r="D183" s="24">
        <v>2</v>
      </c>
      <c r="E183" s="24">
        <v>4</v>
      </c>
      <c r="F183" s="24">
        <v>0</v>
      </c>
      <c r="G183" s="24">
        <v>0</v>
      </c>
      <c r="H183" s="24">
        <v>1</v>
      </c>
      <c r="I183" s="24">
        <v>0</v>
      </c>
      <c r="J183" s="24">
        <v>1</v>
      </c>
      <c r="K183" s="24" t="s">
        <v>450</v>
      </c>
    </row>
    <row r="184" spans="1:11">
      <c r="A184" s="24">
        <v>68</v>
      </c>
      <c r="B184" s="24">
        <v>1</v>
      </c>
      <c r="C184" s="24">
        <v>1</v>
      </c>
      <c r="D184" s="24">
        <v>2</v>
      </c>
      <c r="E184" s="24">
        <v>5</v>
      </c>
      <c r="F184" s="24">
        <v>0</v>
      </c>
      <c r="G184" s="24">
        <v>0</v>
      </c>
      <c r="H184" s="24">
        <v>1</v>
      </c>
      <c r="I184" s="24">
        <v>0</v>
      </c>
      <c r="J184" s="24">
        <v>1</v>
      </c>
      <c r="K184" s="24" t="s">
        <v>450</v>
      </c>
    </row>
    <row r="185" spans="1:11">
      <c r="A185" s="24">
        <v>81</v>
      </c>
      <c r="B185" s="24">
        <v>1</v>
      </c>
      <c r="C185" s="24">
        <v>1</v>
      </c>
      <c r="D185" s="24">
        <v>2</v>
      </c>
      <c r="E185" s="24">
        <v>5</v>
      </c>
      <c r="F185" s="24">
        <v>0</v>
      </c>
      <c r="G185" s="24">
        <v>0</v>
      </c>
      <c r="H185" s="24">
        <v>1</v>
      </c>
      <c r="I185" s="24">
        <v>0</v>
      </c>
      <c r="J185" s="24">
        <v>1</v>
      </c>
      <c r="K185" s="24" t="s">
        <v>450</v>
      </c>
    </row>
    <row r="186" spans="1:11">
      <c r="A186" s="24">
        <v>83</v>
      </c>
      <c r="B186" s="24">
        <v>2</v>
      </c>
      <c r="C186" s="24">
        <v>1</v>
      </c>
      <c r="D186" s="24">
        <v>3</v>
      </c>
      <c r="E186" s="24">
        <v>5</v>
      </c>
      <c r="F186" s="24">
        <v>0</v>
      </c>
      <c r="G186" s="24">
        <v>0</v>
      </c>
      <c r="H186" s="24">
        <v>1</v>
      </c>
      <c r="I186" s="24">
        <v>0</v>
      </c>
      <c r="J186" s="24">
        <v>1</v>
      </c>
      <c r="K186" s="24" t="s">
        <v>450</v>
      </c>
    </row>
    <row r="187" spans="1:11">
      <c r="A187" s="24">
        <v>73</v>
      </c>
      <c r="B187" s="24">
        <v>1</v>
      </c>
      <c r="C187" s="24">
        <v>1</v>
      </c>
      <c r="D187" s="24">
        <v>2</v>
      </c>
      <c r="E187" s="24">
        <v>4</v>
      </c>
      <c r="F187" s="24">
        <v>0</v>
      </c>
      <c r="G187" s="24">
        <v>0</v>
      </c>
      <c r="H187" s="24">
        <v>1</v>
      </c>
      <c r="I187" s="24">
        <v>0</v>
      </c>
      <c r="J187" s="24">
        <v>1</v>
      </c>
      <c r="K187" s="24" t="s">
        <v>450</v>
      </c>
    </row>
    <row r="188" spans="1:11">
      <c r="A188" s="24">
        <v>71</v>
      </c>
      <c r="B188" s="24">
        <v>1</v>
      </c>
      <c r="C188" s="24">
        <v>1</v>
      </c>
      <c r="D188" s="24">
        <v>3</v>
      </c>
      <c r="E188" s="24">
        <v>4</v>
      </c>
      <c r="F188" s="24">
        <v>0</v>
      </c>
      <c r="G188" s="24">
        <v>0</v>
      </c>
      <c r="H188" s="24">
        <v>1</v>
      </c>
      <c r="I188" s="24">
        <v>0</v>
      </c>
      <c r="J188" s="24">
        <v>1</v>
      </c>
      <c r="K188" s="24" t="s">
        <v>450</v>
      </c>
    </row>
    <row r="189" spans="1:11">
      <c r="A189" s="24">
        <v>73</v>
      </c>
      <c r="B189" s="24">
        <v>1</v>
      </c>
      <c r="C189" s="24">
        <v>2</v>
      </c>
      <c r="D189" s="24">
        <v>1</v>
      </c>
      <c r="E189" s="24">
        <v>5</v>
      </c>
      <c r="F189" s="24">
        <v>0</v>
      </c>
      <c r="G189" s="24">
        <v>0</v>
      </c>
      <c r="H189" s="24">
        <v>1</v>
      </c>
      <c r="I189" s="24">
        <v>0</v>
      </c>
      <c r="J189" s="24">
        <v>1</v>
      </c>
      <c r="K189" s="24" t="s">
        <v>450</v>
      </c>
    </row>
    <row r="190" spans="1:11">
      <c r="A190" s="24">
        <v>73</v>
      </c>
      <c r="B190" s="24">
        <v>2</v>
      </c>
      <c r="C190" s="24">
        <v>2</v>
      </c>
      <c r="D190" s="24">
        <v>2</v>
      </c>
      <c r="E190" s="24">
        <v>4</v>
      </c>
      <c r="F190" s="24">
        <v>0</v>
      </c>
      <c r="G190" s="24">
        <v>0</v>
      </c>
      <c r="H190" s="24">
        <v>1</v>
      </c>
      <c r="I190" s="24">
        <v>0</v>
      </c>
      <c r="J190" s="24">
        <v>1</v>
      </c>
      <c r="K190" s="24" t="s">
        <v>450</v>
      </c>
    </row>
    <row r="191" spans="1:11">
      <c r="A191" s="24">
        <v>70</v>
      </c>
      <c r="B191" s="24">
        <v>2</v>
      </c>
      <c r="C191" s="24">
        <v>2</v>
      </c>
      <c r="D191" s="24">
        <v>3</v>
      </c>
      <c r="E191" s="24">
        <v>5</v>
      </c>
      <c r="F191" s="24">
        <v>0</v>
      </c>
      <c r="G191" s="24">
        <v>0</v>
      </c>
      <c r="H191" s="24">
        <v>1</v>
      </c>
      <c r="I191" s="24">
        <v>0</v>
      </c>
      <c r="J191" s="24">
        <v>1</v>
      </c>
      <c r="K191" s="24" t="s">
        <v>450</v>
      </c>
    </row>
    <row r="192" spans="1:11">
      <c r="A192" s="24">
        <v>71</v>
      </c>
      <c r="B192" s="24">
        <v>2</v>
      </c>
      <c r="C192" s="24">
        <v>1</v>
      </c>
      <c r="D192" s="24">
        <v>1</v>
      </c>
      <c r="E192" s="24">
        <v>5</v>
      </c>
      <c r="F192" s="24">
        <v>0</v>
      </c>
      <c r="G192" s="24">
        <v>0</v>
      </c>
      <c r="H192" s="24">
        <v>1</v>
      </c>
      <c r="I192" s="24">
        <v>0</v>
      </c>
      <c r="J192" s="24">
        <v>1</v>
      </c>
      <c r="K192" s="24" t="s">
        <v>450</v>
      </c>
    </row>
    <row r="193" spans="1:11">
      <c r="A193" s="24">
        <v>85</v>
      </c>
      <c r="B193" s="24">
        <v>2</v>
      </c>
      <c r="C193" s="24">
        <v>2</v>
      </c>
      <c r="D193" s="24">
        <v>2</v>
      </c>
      <c r="E193" s="24">
        <v>5</v>
      </c>
      <c r="F193" s="24">
        <v>0</v>
      </c>
      <c r="G193" s="24">
        <v>0</v>
      </c>
      <c r="H193" s="24">
        <v>1</v>
      </c>
      <c r="I193" s="24">
        <v>0</v>
      </c>
      <c r="J193" s="24">
        <v>1</v>
      </c>
      <c r="K193" s="24" t="s">
        <v>450</v>
      </c>
    </row>
    <row r="194" spans="1:11">
      <c r="A194" s="24">
        <v>75</v>
      </c>
      <c r="B194" s="24">
        <v>2</v>
      </c>
      <c r="C194" s="24">
        <v>1</v>
      </c>
      <c r="D194" s="24">
        <v>1</v>
      </c>
      <c r="E194" s="24">
        <v>5</v>
      </c>
      <c r="F194" s="24">
        <v>0</v>
      </c>
      <c r="G194" s="24">
        <v>0</v>
      </c>
      <c r="H194" s="24">
        <v>1</v>
      </c>
      <c r="I194" s="24">
        <v>0</v>
      </c>
      <c r="J194" s="24">
        <v>1</v>
      </c>
      <c r="K194" s="24" t="s">
        <v>450</v>
      </c>
    </row>
    <row r="195" spans="1:11">
      <c r="A195" s="24">
        <v>82</v>
      </c>
      <c r="B195" s="24">
        <v>2</v>
      </c>
      <c r="C195" s="24">
        <v>2</v>
      </c>
      <c r="D195" s="24">
        <v>2</v>
      </c>
      <c r="E195" s="24">
        <v>5</v>
      </c>
      <c r="F195" s="24">
        <v>0</v>
      </c>
      <c r="G195" s="24">
        <v>0</v>
      </c>
      <c r="H195" s="24">
        <v>1</v>
      </c>
      <c r="I195" s="24">
        <v>0</v>
      </c>
      <c r="J195" s="24">
        <v>1</v>
      </c>
      <c r="K195" s="24" t="s">
        <v>450</v>
      </c>
    </row>
    <row r="196" spans="1:11">
      <c r="A196" s="24">
        <v>82</v>
      </c>
      <c r="B196" s="24">
        <v>1</v>
      </c>
      <c r="C196" s="24">
        <v>2</v>
      </c>
      <c r="D196" s="24">
        <v>2</v>
      </c>
      <c r="E196" s="24">
        <v>4</v>
      </c>
      <c r="F196" s="24">
        <v>0</v>
      </c>
      <c r="G196" s="24">
        <v>0</v>
      </c>
      <c r="H196" s="24">
        <v>1</v>
      </c>
      <c r="I196" s="24">
        <v>0</v>
      </c>
      <c r="J196" s="24">
        <v>1</v>
      </c>
      <c r="K196" s="24" t="s">
        <v>450</v>
      </c>
    </row>
    <row r="197" spans="1:11">
      <c r="A197" s="24">
        <v>83</v>
      </c>
      <c r="B197" s="24">
        <v>1</v>
      </c>
      <c r="C197" s="24">
        <v>2</v>
      </c>
      <c r="D197" s="24">
        <v>3</v>
      </c>
      <c r="E197" s="24">
        <v>4</v>
      </c>
      <c r="F197" s="24">
        <v>0</v>
      </c>
      <c r="G197" s="24">
        <v>0</v>
      </c>
      <c r="H197" s="24">
        <v>1</v>
      </c>
      <c r="I197" s="24">
        <v>0</v>
      </c>
      <c r="J197" s="24">
        <v>1</v>
      </c>
      <c r="K197" s="24" t="s">
        <v>450</v>
      </c>
    </row>
    <row r="198" spans="1:11">
      <c r="A198" s="24">
        <v>75</v>
      </c>
      <c r="B198" s="24">
        <v>1</v>
      </c>
      <c r="C198" s="24">
        <v>2</v>
      </c>
      <c r="D198" s="24">
        <v>1</v>
      </c>
      <c r="E198" s="24">
        <v>5</v>
      </c>
      <c r="F198" s="24">
        <v>0</v>
      </c>
      <c r="G198" s="24">
        <v>0</v>
      </c>
      <c r="H198" s="24">
        <v>1</v>
      </c>
      <c r="I198" s="24">
        <v>0</v>
      </c>
      <c r="J198" s="24">
        <v>1</v>
      </c>
      <c r="K198" s="24" t="s">
        <v>450</v>
      </c>
    </row>
    <row r="199" spans="1:11">
      <c r="A199" s="24">
        <v>69</v>
      </c>
      <c r="B199" s="24">
        <v>1</v>
      </c>
      <c r="C199" s="24">
        <v>2</v>
      </c>
      <c r="D199" s="24">
        <v>2</v>
      </c>
      <c r="E199" s="24">
        <v>5</v>
      </c>
      <c r="F199" s="24">
        <v>0</v>
      </c>
      <c r="G199" s="24">
        <v>0</v>
      </c>
      <c r="H199" s="24">
        <v>1</v>
      </c>
      <c r="I199" s="24">
        <v>0</v>
      </c>
      <c r="J199" s="24">
        <v>1</v>
      </c>
      <c r="K199" s="24" t="s">
        <v>450</v>
      </c>
    </row>
    <row r="200" spans="1:11">
      <c r="A200" s="24">
        <v>85</v>
      </c>
      <c r="B200" s="24">
        <v>2</v>
      </c>
      <c r="C200" s="24">
        <v>2</v>
      </c>
      <c r="D200" s="24">
        <v>2</v>
      </c>
      <c r="E200" s="24">
        <v>4</v>
      </c>
      <c r="F200" s="24">
        <v>0</v>
      </c>
      <c r="G200" s="24">
        <v>0</v>
      </c>
      <c r="H200" s="24">
        <v>1</v>
      </c>
      <c r="I200" s="24">
        <v>0</v>
      </c>
      <c r="J200" s="24">
        <v>1</v>
      </c>
      <c r="K200" s="24" t="s">
        <v>450</v>
      </c>
    </row>
    <row r="201" spans="1:11">
      <c r="A201" s="24">
        <v>60</v>
      </c>
      <c r="B201" s="24">
        <v>2</v>
      </c>
      <c r="C201" s="24">
        <v>1</v>
      </c>
      <c r="D201" s="24">
        <v>1</v>
      </c>
      <c r="E201" s="24">
        <v>4</v>
      </c>
      <c r="F201" s="24">
        <v>0</v>
      </c>
      <c r="G201" s="24">
        <v>0</v>
      </c>
      <c r="H201" s="24">
        <v>1</v>
      </c>
      <c r="I201" s="24">
        <v>0</v>
      </c>
      <c r="J201" s="24">
        <v>1</v>
      </c>
      <c r="K201" s="24" t="s">
        <v>450</v>
      </c>
    </row>
    <row r="202" spans="1:11">
      <c r="A202" s="24">
        <v>80</v>
      </c>
      <c r="B202" s="24">
        <v>2</v>
      </c>
      <c r="C202" s="24">
        <v>1</v>
      </c>
      <c r="D202" s="24">
        <v>3</v>
      </c>
      <c r="E202" s="24">
        <v>5</v>
      </c>
      <c r="F202" s="24">
        <v>0</v>
      </c>
      <c r="G202" s="24">
        <v>0</v>
      </c>
      <c r="H202" s="24">
        <v>1</v>
      </c>
      <c r="I202" s="24">
        <v>0</v>
      </c>
      <c r="J202" s="24">
        <v>1</v>
      </c>
      <c r="K202" s="24" t="s">
        <v>450</v>
      </c>
    </row>
    <row r="203" spans="1:11">
      <c r="A203" s="24">
        <v>78</v>
      </c>
      <c r="B203" s="24">
        <v>2</v>
      </c>
      <c r="C203" s="24">
        <v>2</v>
      </c>
      <c r="D203" s="24">
        <v>3</v>
      </c>
      <c r="E203" s="24">
        <v>4</v>
      </c>
      <c r="F203" s="24">
        <v>0</v>
      </c>
      <c r="G203" s="24">
        <v>0</v>
      </c>
      <c r="H203" s="24">
        <v>1</v>
      </c>
      <c r="I203" s="24">
        <v>0</v>
      </c>
      <c r="J203" s="24">
        <v>1</v>
      </c>
      <c r="K203" s="24" t="s">
        <v>450</v>
      </c>
    </row>
    <row r="204" spans="1:11">
      <c r="A204" s="24">
        <v>69</v>
      </c>
      <c r="B204" s="24">
        <v>1</v>
      </c>
      <c r="C204" s="24">
        <v>1</v>
      </c>
      <c r="D204" s="24">
        <v>3</v>
      </c>
      <c r="E204" s="24">
        <v>4</v>
      </c>
      <c r="F204" s="24">
        <v>0</v>
      </c>
      <c r="G204" s="24">
        <v>0</v>
      </c>
      <c r="H204" s="24">
        <v>1</v>
      </c>
      <c r="I204" s="24">
        <v>0</v>
      </c>
      <c r="J204" s="24">
        <v>1</v>
      </c>
      <c r="K204" s="24" t="s">
        <v>450</v>
      </c>
    </row>
    <row r="205" spans="1:11">
      <c r="A205" s="24">
        <v>61</v>
      </c>
      <c r="B205" s="24">
        <v>1</v>
      </c>
      <c r="C205" s="24">
        <v>2</v>
      </c>
      <c r="D205" s="24">
        <v>2</v>
      </c>
      <c r="E205" s="24">
        <v>4</v>
      </c>
      <c r="F205" s="24">
        <v>0</v>
      </c>
      <c r="G205" s="24">
        <v>0</v>
      </c>
      <c r="H205" s="24">
        <v>1</v>
      </c>
      <c r="I205" s="24">
        <v>0</v>
      </c>
      <c r="J205" s="24">
        <v>1</v>
      </c>
      <c r="K205" s="24" t="s">
        <v>450</v>
      </c>
    </row>
    <row r="206" spans="1:11">
      <c r="A206" s="24">
        <v>62</v>
      </c>
      <c r="B206" s="24">
        <v>2</v>
      </c>
      <c r="C206" s="24">
        <v>2</v>
      </c>
      <c r="D206" s="24">
        <v>1</v>
      </c>
      <c r="E206" s="24">
        <v>4</v>
      </c>
      <c r="F206" s="24">
        <v>0</v>
      </c>
      <c r="G206" s="24">
        <v>0</v>
      </c>
      <c r="H206" s="24">
        <v>1</v>
      </c>
      <c r="I206" s="24">
        <v>0</v>
      </c>
      <c r="J206" s="24">
        <v>1</v>
      </c>
      <c r="K206" s="24" t="s">
        <v>450</v>
      </c>
    </row>
    <row r="207" spans="1:11">
      <c r="A207" s="24">
        <v>70</v>
      </c>
      <c r="B207" s="24">
        <v>1</v>
      </c>
      <c r="C207" s="24">
        <v>1</v>
      </c>
      <c r="D207" s="24">
        <v>2</v>
      </c>
      <c r="E207" s="24">
        <v>5</v>
      </c>
      <c r="F207" s="24">
        <v>0</v>
      </c>
      <c r="G207" s="24">
        <v>0</v>
      </c>
      <c r="H207" s="24">
        <v>1</v>
      </c>
      <c r="I207" s="24">
        <v>0</v>
      </c>
      <c r="J207" s="24">
        <v>1</v>
      </c>
      <c r="K207" s="24" t="s">
        <v>450</v>
      </c>
    </row>
    <row r="208" spans="1:11">
      <c r="A208" s="24">
        <v>70</v>
      </c>
      <c r="B208" s="24">
        <v>2</v>
      </c>
      <c r="C208" s="24">
        <v>1</v>
      </c>
      <c r="D208" s="24">
        <v>2</v>
      </c>
      <c r="E208" s="24">
        <v>5</v>
      </c>
      <c r="F208" s="24">
        <v>0</v>
      </c>
      <c r="G208" s="24">
        <v>0</v>
      </c>
      <c r="H208" s="24">
        <v>1</v>
      </c>
      <c r="I208" s="24">
        <v>0</v>
      </c>
      <c r="J208" s="24">
        <v>1</v>
      </c>
      <c r="K208" s="24" t="s">
        <v>450</v>
      </c>
    </row>
    <row r="209" spans="1:11">
      <c r="A209" s="24">
        <v>63</v>
      </c>
      <c r="B209" s="24">
        <v>1</v>
      </c>
      <c r="C209" s="24">
        <v>1</v>
      </c>
      <c r="D209" s="24">
        <v>1</v>
      </c>
      <c r="E209" s="24">
        <v>5</v>
      </c>
      <c r="F209" s="24">
        <v>0</v>
      </c>
      <c r="G209" s="24">
        <v>0</v>
      </c>
      <c r="H209" s="24">
        <v>1</v>
      </c>
      <c r="I209" s="24">
        <v>0</v>
      </c>
      <c r="J209" s="24">
        <v>1</v>
      </c>
      <c r="K209" s="24" t="s">
        <v>450</v>
      </c>
    </row>
    <row r="210" spans="1:11">
      <c r="A210" s="24">
        <v>85</v>
      </c>
      <c r="B210" s="24">
        <v>1</v>
      </c>
      <c r="C210" s="24">
        <v>1</v>
      </c>
      <c r="D210" s="24">
        <v>2</v>
      </c>
      <c r="E210" s="24">
        <v>5</v>
      </c>
      <c r="F210" s="24">
        <v>0</v>
      </c>
      <c r="G210" s="24">
        <v>0</v>
      </c>
      <c r="H210" s="24">
        <v>1</v>
      </c>
      <c r="I210" s="24">
        <v>0</v>
      </c>
      <c r="J210" s="24">
        <v>1</v>
      </c>
      <c r="K210" s="24" t="s">
        <v>450</v>
      </c>
    </row>
    <row r="211" spans="1:11">
      <c r="A211" s="24">
        <v>84</v>
      </c>
      <c r="B211" s="24">
        <v>2</v>
      </c>
      <c r="C211" s="24">
        <v>1</v>
      </c>
      <c r="D211" s="24">
        <v>1</v>
      </c>
      <c r="E211" s="24">
        <v>5</v>
      </c>
      <c r="F211" s="24">
        <v>0</v>
      </c>
      <c r="G211" s="24">
        <v>0</v>
      </c>
      <c r="H211" s="24">
        <v>1</v>
      </c>
      <c r="I211" s="24">
        <v>0</v>
      </c>
      <c r="J211" s="24">
        <v>1</v>
      </c>
      <c r="K211" s="24" t="s">
        <v>450</v>
      </c>
    </row>
    <row r="212" spans="1:11">
      <c r="A212" s="24">
        <v>85</v>
      </c>
      <c r="B212" s="24">
        <v>1</v>
      </c>
      <c r="C212" s="24">
        <v>2</v>
      </c>
      <c r="D212" s="24">
        <v>2</v>
      </c>
      <c r="E212" s="24">
        <v>5</v>
      </c>
      <c r="F212" s="24">
        <v>0</v>
      </c>
      <c r="G212" s="24">
        <v>0</v>
      </c>
      <c r="H212" s="24">
        <v>1</v>
      </c>
      <c r="I212" s="24">
        <v>0</v>
      </c>
      <c r="J212" s="24">
        <v>1</v>
      </c>
      <c r="K212" s="24" t="s">
        <v>450</v>
      </c>
    </row>
    <row r="213" spans="1:11">
      <c r="A213" s="24">
        <v>67</v>
      </c>
      <c r="B213" s="24">
        <v>2</v>
      </c>
      <c r="C213" s="24">
        <v>1</v>
      </c>
      <c r="D213" s="24">
        <v>2</v>
      </c>
      <c r="E213" s="24">
        <v>4</v>
      </c>
      <c r="F213" s="24">
        <v>0</v>
      </c>
      <c r="G213" s="24">
        <v>0</v>
      </c>
      <c r="H213" s="24">
        <v>1</v>
      </c>
      <c r="I213" s="24">
        <v>0</v>
      </c>
      <c r="J213" s="24">
        <v>1</v>
      </c>
      <c r="K213" s="24" t="s">
        <v>450</v>
      </c>
    </row>
    <row r="214" spans="1:11">
      <c r="A214" s="24">
        <v>76</v>
      </c>
      <c r="B214" s="24">
        <v>1</v>
      </c>
      <c r="C214" s="24">
        <v>1</v>
      </c>
      <c r="D214" s="24">
        <v>2</v>
      </c>
      <c r="E214" s="24">
        <v>5</v>
      </c>
      <c r="F214" s="24">
        <v>0</v>
      </c>
      <c r="G214" s="24">
        <v>0</v>
      </c>
      <c r="H214" s="24">
        <v>1</v>
      </c>
      <c r="I214" s="24">
        <v>0</v>
      </c>
      <c r="J214" s="24">
        <v>1</v>
      </c>
      <c r="K214" s="24" t="s">
        <v>450</v>
      </c>
    </row>
    <row r="215" spans="1:11">
      <c r="A215" s="24">
        <v>66</v>
      </c>
      <c r="B215" s="24">
        <v>2</v>
      </c>
      <c r="C215" s="24">
        <v>1</v>
      </c>
      <c r="D215" s="24">
        <v>1</v>
      </c>
      <c r="E215" s="24">
        <v>5</v>
      </c>
      <c r="F215" s="24">
        <v>0</v>
      </c>
      <c r="G215" s="24">
        <v>0</v>
      </c>
      <c r="H215" s="24">
        <v>1</v>
      </c>
      <c r="I215" s="24">
        <v>0</v>
      </c>
      <c r="J215" s="24">
        <v>1</v>
      </c>
      <c r="K215" s="24" t="s">
        <v>450</v>
      </c>
    </row>
    <row r="216" spans="1:11">
      <c r="A216" s="24">
        <v>82</v>
      </c>
      <c r="B216" s="24">
        <v>1</v>
      </c>
      <c r="C216" s="24">
        <v>1</v>
      </c>
      <c r="D216" s="24">
        <v>2</v>
      </c>
      <c r="E216" s="24">
        <v>5</v>
      </c>
      <c r="F216" s="24">
        <v>0</v>
      </c>
      <c r="G216" s="24">
        <v>0</v>
      </c>
      <c r="H216" s="24">
        <v>1</v>
      </c>
      <c r="I216" s="24">
        <v>0</v>
      </c>
      <c r="J216" s="24">
        <v>1</v>
      </c>
      <c r="K216" s="24" t="s">
        <v>450</v>
      </c>
    </row>
    <row r="217" spans="1:11">
      <c r="A217" s="24">
        <v>67</v>
      </c>
      <c r="B217" s="24">
        <v>2</v>
      </c>
      <c r="C217" s="24">
        <v>2</v>
      </c>
      <c r="D217" s="24">
        <v>1</v>
      </c>
      <c r="E217" s="24">
        <v>4</v>
      </c>
      <c r="F217" s="24">
        <v>0</v>
      </c>
      <c r="G217" s="24">
        <v>0</v>
      </c>
      <c r="H217" s="24">
        <v>1</v>
      </c>
      <c r="I217" s="24">
        <v>0</v>
      </c>
      <c r="J217" s="24">
        <v>1</v>
      </c>
      <c r="K217" s="24" t="s">
        <v>450</v>
      </c>
    </row>
    <row r="218" spans="1:11">
      <c r="A218" s="24">
        <v>78</v>
      </c>
      <c r="B218" s="24">
        <v>2</v>
      </c>
      <c r="C218" s="24">
        <v>1</v>
      </c>
      <c r="D218" s="24">
        <v>3</v>
      </c>
      <c r="E218" s="24">
        <v>4</v>
      </c>
      <c r="F218" s="24">
        <v>0</v>
      </c>
      <c r="G218" s="24">
        <v>0</v>
      </c>
      <c r="H218" s="24">
        <v>1</v>
      </c>
      <c r="I218" s="24">
        <v>0</v>
      </c>
      <c r="J218" s="24">
        <v>1</v>
      </c>
      <c r="K218" s="24" t="s">
        <v>450</v>
      </c>
    </row>
    <row r="219" spans="1:11">
      <c r="A219" s="24">
        <v>82</v>
      </c>
      <c r="B219" s="24">
        <v>1</v>
      </c>
      <c r="C219" s="24">
        <v>1</v>
      </c>
      <c r="D219" s="24">
        <v>2</v>
      </c>
      <c r="E219" s="24">
        <v>5</v>
      </c>
      <c r="F219" s="24">
        <v>0</v>
      </c>
      <c r="G219" s="24">
        <v>0</v>
      </c>
      <c r="H219" s="24">
        <v>1</v>
      </c>
      <c r="I219" s="24">
        <v>0</v>
      </c>
      <c r="J219" s="24">
        <v>1</v>
      </c>
      <c r="K219" s="24" t="s">
        <v>450</v>
      </c>
    </row>
    <row r="220" spans="1:11">
      <c r="A220" s="24">
        <v>65</v>
      </c>
      <c r="B220" s="24">
        <v>1</v>
      </c>
      <c r="C220" s="24">
        <v>1</v>
      </c>
      <c r="D220" s="24">
        <v>2</v>
      </c>
      <c r="E220" s="24">
        <v>4</v>
      </c>
      <c r="F220" s="24">
        <v>0</v>
      </c>
      <c r="G220" s="24">
        <v>0</v>
      </c>
      <c r="H220" s="24">
        <v>1</v>
      </c>
      <c r="I220" s="24">
        <v>0</v>
      </c>
      <c r="J220" s="24">
        <v>1</v>
      </c>
      <c r="K220" s="24" t="s">
        <v>450</v>
      </c>
    </row>
    <row r="221" spans="1:11">
      <c r="A221" s="24">
        <v>84</v>
      </c>
      <c r="B221" s="24">
        <v>1</v>
      </c>
      <c r="C221" s="24">
        <v>2</v>
      </c>
      <c r="D221" s="24">
        <v>2</v>
      </c>
      <c r="E221" s="24">
        <v>4</v>
      </c>
      <c r="F221" s="24">
        <v>0</v>
      </c>
      <c r="G221" s="24">
        <v>0</v>
      </c>
      <c r="H221" s="24">
        <v>1</v>
      </c>
      <c r="I221" s="24">
        <v>0</v>
      </c>
      <c r="J221" s="24">
        <v>1</v>
      </c>
      <c r="K221" s="24" t="s">
        <v>450</v>
      </c>
    </row>
    <row r="222" spans="1:11">
      <c r="A222" s="24">
        <v>70</v>
      </c>
      <c r="B222" s="24">
        <v>1</v>
      </c>
      <c r="C222" s="24">
        <v>1</v>
      </c>
      <c r="D222" s="24">
        <v>3</v>
      </c>
      <c r="E222" s="24">
        <v>4</v>
      </c>
      <c r="F222" s="24">
        <v>0</v>
      </c>
      <c r="G222" s="24">
        <v>0</v>
      </c>
      <c r="H222" s="24">
        <v>1</v>
      </c>
      <c r="I222" s="24">
        <v>0</v>
      </c>
      <c r="J222" s="24">
        <v>1</v>
      </c>
      <c r="K222" s="24" t="s">
        <v>450</v>
      </c>
    </row>
    <row r="223" spans="1:11">
      <c r="A223" s="24">
        <v>85</v>
      </c>
      <c r="B223" s="24">
        <v>2</v>
      </c>
      <c r="C223" s="24">
        <v>2</v>
      </c>
      <c r="D223" s="24">
        <v>3</v>
      </c>
      <c r="E223" s="24">
        <v>4</v>
      </c>
      <c r="F223" s="24">
        <v>0</v>
      </c>
      <c r="G223" s="24">
        <v>0</v>
      </c>
      <c r="H223" s="24">
        <v>1</v>
      </c>
      <c r="I223" s="24">
        <v>0</v>
      </c>
      <c r="J223" s="24">
        <v>1</v>
      </c>
      <c r="K223" s="24" t="s">
        <v>450</v>
      </c>
    </row>
    <row r="224" spans="1:11">
      <c r="A224" s="24">
        <v>77</v>
      </c>
      <c r="B224" s="24">
        <v>2</v>
      </c>
      <c r="C224" s="24">
        <v>2</v>
      </c>
      <c r="D224" s="24">
        <v>1</v>
      </c>
      <c r="E224" s="24">
        <v>5</v>
      </c>
      <c r="F224" s="24">
        <v>0</v>
      </c>
      <c r="G224" s="24">
        <v>0</v>
      </c>
      <c r="H224" s="24">
        <v>1</v>
      </c>
      <c r="I224" s="24">
        <v>0</v>
      </c>
      <c r="J224" s="24">
        <v>1</v>
      </c>
      <c r="K224" s="24" t="s">
        <v>450</v>
      </c>
    </row>
    <row r="225" spans="1:11">
      <c r="A225" s="24">
        <v>78</v>
      </c>
      <c r="B225" s="24">
        <v>1</v>
      </c>
      <c r="C225" s="24">
        <v>1</v>
      </c>
      <c r="D225" s="24">
        <v>3</v>
      </c>
      <c r="E225" s="24">
        <v>4</v>
      </c>
      <c r="F225" s="24">
        <v>0</v>
      </c>
      <c r="G225" s="24">
        <v>0</v>
      </c>
      <c r="H225" s="24">
        <v>1</v>
      </c>
      <c r="I225" s="24">
        <v>0</v>
      </c>
      <c r="J225" s="24">
        <v>1</v>
      </c>
      <c r="K225" s="24" t="s">
        <v>450</v>
      </c>
    </row>
    <row r="226" spans="1:11">
      <c r="A226" s="24">
        <v>76</v>
      </c>
      <c r="B226" s="24">
        <v>1</v>
      </c>
      <c r="C226" s="24">
        <v>2</v>
      </c>
      <c r="D226" s="24">
        <v>3</v>
      </c>
      <c r="E226" s="24">
        <v>5</v>
      </c>
      <c r="F226" s="24">
        <v>0</v>
      </c>
      <c r="G226" s="24">
        <v>0</v>
      </c>
      <c r="H226" s="24">
        <v>1</v>
      </c>
      <c r="I226" s="24">
        <v>0</v>
      </c>
      <c r="J226" s="24">
        <v>1</v>
      </c>
      <c r="K226" s="24" t="s">
        <v>450</v>
      </c>
    </row>
    <row r="227" spans="1:11">
      <c r="A227" s="24">
        <v>68</v>
      </c>
      <c r="B227" s="24">
        <v>1</v>
      </c>
      <c r="C227" s="24">
        <v>1</v>
      </c>
      <c r="D227" s="24">
        <v>1</v>
      </c>
      <c r="E227" s="24">
        <v>4</v>
      </c>
      <c r="F227" s="24">
        <v>0</v>
      </c>
      <c r="G227" s="24">
        <v>0</v>
      </c>
      <c r="H227" s="24">
        <v>1</v>
      </c>
      <c r="I227" s="24">
        <v>0</v>
      </c>
      <c r="J227" s="24">
        <v>1</v>
      </c>
      <c r="K227" s="24" t="s">
        <v>450</v>
      </c>
    </row>
    <row r="228" spans="1:11">
      <c r="A228" s="24">
        <v>82</v>
      </c>
      <c r="B228" s="24">
        <v>1</v>
      </c>
      <c r="C228" s="24">
        <v>1</v>
      </c>
      <c r="D228" s="24">
        <v>3</v>
      </c>
      <c r="E228" s="24">
        <v>4</v>
      </c>
      <c r="F228" s="24">
        <v>0</v>
      </c>
      <c r="G228" s="24">
        <v>0</v>
      </c>
      <c r="H228" s="24">
        <v>1</v>
      </c>
      <c r="I228" s="24">
        <v>0</v>
      </c>
      <c r="J228" s="24">
        <v>1</v>
      </c>
      <c r="K228" s="24" t="s">
        <v>450</v>
      </c>
    </row>
    <row r="229" spans="1:11">
      <c r="A229" s="24">
        <v>71</v>
      </c>
      <c r="B229" s="24">
        <v>1</v>
      </c>
      <c r="C229" s="24">
        <v>1</v>
      </c>
      <c r="D229" s="24">
        <v>3</v>
      </c>
      <c r="E229" s="24">
        <v>5</v>
      </c>
      <c r="F229" s="24">
        <v>0</v>
      </c>
      <c r="G229" s="24">
        <v>0</v>
      </c>
      <c r="H229" s="24">
        <v>1</v>
      </c>
      <c r="I229" s="24">
        <v>0</v>
      </c>
      <c r="J229" s="24">
        <v>1</v>
      </c>
      <c r="K229" s="24" t="s">
        <v>450</v>
      </c>
    </row>
    <row r="230" spans="1:11">
      <c r="A230" s="24">
        <v>83</v>
      </c>
      <c r="B230" s="24">
        <v>2</v>
      </c>
      <c r="C230" s="24">
        <v>1</v>
      </c>
      <c r="D230" s="24">
        <v>3</v>
      </c>
      <c r="E230" s="24">
        <v>4</v>
      </c>
      <c r="F230" s="24">
        <v>0</v>
      </c>
      <c r="G230" s="24">
        <v>0</v>
      </c>
      <c r="H230" s="24">
        <v>1</v>
      </c>
      <c r="I230" s="24">
        <v>0</v>
      </c>
      <c r="J230" s="24">
        <v>1</v>
      </c>
      <c r="K230" s="24" t="s">
        <v>450</v>
      </c>
    </row>
    <row r="231" spans="1:11">
      <c r="A231" s="24">
        <v>73</v>
      </c>
      <c r="B231" s="24">
        <v>2</v>
      </c>
      <c r="C231" s="24">
        <v>1</v>
      </c>
      <c r="D231" s="24">
        <v>2</v>
      </c>
      <c r="E231" s="24">
        <v>5</v>
      </c>
      <c r="F231" s="24">
        <v>0</v>
      </c>
      <c r="G231" s="24">
        <v>0</v>
      </c>
      <c r="H231" s="24">
        <v>1</v>
      </c>
      <c r="I231" s="24">
        <v>0</v>
      </c>
      <c r="J231" s="24">
        <v>1</v>
      </c>
      <c r="K231" s="24" t="s">
        <v>450</v>
      </c>
    </row>
    <row r="232" spans="1:11">
      <c r="A232" s="24">
        <v>71</v>
      </c>
      <c r="B232" s="24">
        <v>2</v>
      </c>
      <c r="C232" s="24">
        <v>1</v>
      </c>
      <c r="D232" s="24">
        <v>2</v>
      </c>
      <c r="E232" s="24">
        <v>4</v>
      </c>
      <c r="F232" s="24">
        <v>0</v>
      </c>
      <c r="G232" s="24">
        <v>0</v>
      </c>
      <c r="H232" s="24">
        <v>1</v>
      </c>
      <c r="I232" s="24">
        <v>0</v>
      </c>
      <c r="J232" s="24">
        <v>1</v>
      </c>
      <c r="K232" s="24" t="s">
        <v>450</v>
      </c>
    </row>
    <row r="233" spans="1:11">
      <c r="A233" s="24">
        <v>67</v>
      </c>
      <c r="B233" s="24">
        <v>2</v>
      </c>
      <c r="C233" s="24">
        <v>2</v>
      </c>
      <c r="D233" s="24">
        <v>1</v>
      </c>
      <c r="E233" s="24">
        <v>5</v>
      </c>
      <c r="F233" s="24">
        <v>0</v>
      </c>
      <c r="G233" s="24">
        <v>0</v>
      </c>
      <c r="H233" s="24">
        <v>1</v>
      </c>
      <c r="I233" s="24">
        <v>0</v>
      </c>
      <c r="J233" s="24">
        <v>1</v>
      </c>
      <c r="K233" s="24" t="s">
        <v>450</v>
      </c>
    </row>
    <row r="234" spans="1:11">
      <c r="A234" s="24">
        <v>74</v>
      </c>
      <c r="B234" s="24">
        <v>2</v>
      </c>
      <c r="C234" s="24">
        <v>1</v>
      </c>
      <c r="D234" s="24">
        <v>2</v>
      </c>
      <c r="E234" s="24">
        <v>5</v>
      </c>
      <c r="F234" s="24">
        <v>0</v>
      </c>
      <c r="G234" s="24">
        <v>0</v>
      </c>
      <c r="H234" s="24">
        <v>1</v>
      </c>
      <c r="I234" s="24">
        <v>0</v>
      </c>
      <c r="J234" s="24">
        <v>1</v>
      </c>
      <c r="K234" s="24" t="s">
        <v>450</v>
      </c>
    </row>
    <row r="235" spans="1:11">
      <c r="A235" s="24">
        <v>64</v>
      </c>
      <c r="B235" s="24">
        <v>1</v>
      </c>
      <c r="C235" s="24">
        <v>2</v>
      </c>
      <c r="D235" s="24">
        <v>1</v>
      </c>
      <c r="E235" s="24">
        <v>5</v>
      </c>
      <c r="F235" s="24">
        <v>0</v>
      </c>
      <c r="G235" s="24">
        <v>0</v>
      </c>
      <c r="H235" s="24">
        <v>1</v>
      </c>
      <c r="I235" s="24">
        <v>0</v>
      </c>
      <c r="J235" s="24">
        <v>1</v>
      </c>
      <c r="K235" s="24" t="s">
        <v>450</v>
      </c>
    </row>
    <row r="236" spans="1:11">
      <c r="A236" s="24">
        <v>82</v>
      </c>
      <c r="B236" s="24">
        <v>1</v>
      </c>
      <c r="C236" s="24">
        <v>1</v>
      </c>
      <c r="D236" s="24">
        <v>1</v>
      </c>
      <c r="E236" s="24">
        <v>4</v>
      </c>
      <c r="F236" s="24">
        <v>0</v>
      </c>
      <c r="G236" s="24">
        <v>0</v>
      </c>
      <c r="H236" s="24">
        <v>1</v>
      </c>
      <c r="I236" s="24">
        <v>0</v>
      </c>
      <c r="J236" s="24">
        <v>1</v>
      </c>
      <c r="K236" s="24" t="s">
        <v>450</v>
      </c>
    </row>
    <row r="237" spans="1:11">
      <c r="A237" s="24">
        <v>80</v>
      </c>
      <c r="B237" s="24">
        <v>2</v>
      </c>
      <c r="C237" s="24">
        <v>1</v>
      </c>
      <c r="D237" s="24">
        <v>2</v>
      </c>
      <c r="E237" s="24">
        <v>5</v>
      </c>
      <c r="F237" s="24">
        <v>0</v>
      </c>
      <c r="G237" s="24">
        <v>0</v>
      </c>
      <c r="H237" s="24">
        <v>1</v>
      </c>
      <c r="I237" s="24">
        <v>0</v>
      </c>
      <c r="J237" s="24">
        <v>1</v>
      </c>
      <c r="K237" s="24" t="s">
        <v>450</v>
      </c>
    </row>
    <row r="238" spans="1:11">
      <c r="A238" s="24">
        <v>64</v>
      </c>
      <c r="B238" s="24">
        <v>1</v>
      </c>
      <c r="C238" s="24">
        <v>1</v>
      </c>
      <c r="D238" s="24">
        <v>3</v>
      </c>
      <c r="E238" s="24">
        <v>4</v>
      </c>
      <c r="F238" s="24">
        <v>0</v>
      </c>
      <c r="G238" s="24">
        <v>0</v>
      </c>
      <c r="H238" s="24">
        <v>1</v>
      </c>
      <c r="I238" s="24">
        <v>0</v>
      </c>
      <c r="J238" s="24">
        <v>1</v>
      </c>
      <c r="K238" s="24" t="s">
        <v>450</v>
      </c>
    </row>
    <row r="239" spans="1:11">
      <c r="A239" s="24">
        <v>83</v>
      </c>
      <c r="B239" s="24">
        <v>1</v>
      </c>
      <c r="C239" s="24">
        <v>1</v>
      </c>
      <c r="D239" s="24">
        <v>3</v>
      </c>
      <c r="E239" s="24">
        <v>4</v>
      </c>
      <c r="F239" s="24">
        <v>0</v>
      </c>
      <c r="G239" s="24">
        <v>0</v>
      </c>
      <c r="H239" s="24">
        <v>1</v>
      </c>
      <c r="I239" s="24">
        <v>0</v>
      </c>
      <c r="J239" s="24">
        <v>1</v>
      </c>
      <c r="K239" s="24" t="s">
        <v>450</v>
      </c>
    </row>
    <row r="240" spans="1:11">
      <c r="A240" s="24">
        <v>68</v>
      </c>
      <c r="B240" s="24">
        <v>1</v>
      </c>
      <c r="C240" s="24">
        <v>2</v>
      </c>
      <c r="D240" s="24">
        <v>2</v>
      </c>
      <c r="E240" s="24">
        <v>5</v>
      </c>
      <c r="F240" s="24">
        <v>0</v>
      </c>
      <c r="G240" s="24">
        <v>0</v>
      </c>
      <c r="H240" s="24">
        <v>1</v>
      </c>
      <c r="I240" s="24">
        <v>0</v>
      </c>
      <c r="J240" s="24">
        <v>1</v>
      </c>
      <c r="K240" s="24" t="s">
        <v>450</v>
      </c>
    </row>
    <row r="241" spans="1:11">
      <c r="A241" s="24">
        <v>70</v>
      </c>
      <c r="B241" s="24">
        <v>1</v>
      </c>
      <c r="C241" s="24">
        <v>1</v>
      </c>
      <c r="D241" s="24">
        <v>3</v>
      </c>
      <c r="E241" s="24">
        <v>4</v>
      </c>
      <c r="F241" s="24">
        <v>0</v>
      </c>
      <c r="G241" s="24">
        <v>0</v>
      </c>
      <c r="H241" s="24">
        <v>1</v>
      </c>
      <c r="I241" s="24">
        <v>0</v>
      </c>
      <c r="J241" s="24">
        <v>1</v>
      </c>
      <c r="K241" s="24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AHMAD RAMI AHMAD MAHMOUD</cp:lastModifiedBy>
  <cp:revision/>
  <dcterms:created xsi:type="dcterms:W3CDTF">2025-12-06T19:39:50Z</dcterms:created>
  <dcterms:modified xsi:type="dcterms:W3CDTF">2026-02-20T16:51:47Z</dcterms:modified>
  <cp:category/>
  <cp:contentStatus/>
</cp:coreProperties>
</file>